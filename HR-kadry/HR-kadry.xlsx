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Workspace\Excel\HR-kadry\"/>
    </mc:Choice>
  </mc:AlternateContent>
  <xr:revisionPtr revIDLastSave="0" documentId="13_ncr:1_{7CFFAEB6-318D-49B5-85CD-D00F29B62875}" xr6:coauthVersionLast="47" xr6:coauthVersionMax="47" xr10:uidLastSave="{00000000-0000-0000-0000-000000000000}"/>
  <bookViews>
    <workbookView xWindow="-120" yWindow="-120" windowWidth="29040" windowHeight="15720" xr2:uid="{8186B1F1-6A4D-4F2B-AB3D-F1293F0FE952}"/>
  </bookViews>
  <sheets>
    <sheet name="Dashboard" sheetId="2" r:id="rId1"/>
    <sheet name="Analiza" sheetId="1" r:id="rId2"/>
    <sheet name="_" sheetId="3" r:id="rId3"/>
  </sheets>
  <definedNames>
    <definedName name="Fragmentator_Nazwa_Dzialu">#N/A</definedName>
    <definedName name="Fragmentator_Nazwa_miesiąca">#N/A</definedName>
    <definedName name="Fragmentator_Rok">#N/A</definedName>
    <definedName name="Fragmentator_Stanowisko">#N/A</definedName>
  </definedNames>
  <calcPr calcId="191029"/>
  <pivotCaches>
    <pivotCache cacheId="248" r:id="rId4"/>
    <pivotCache cacheId="251" r:id="rId5"/>
    <pivotCache cacheId="254" r:id="rId6"/>
    <pivotCache cacheId="257" r:id="rId7"/>
    <pivotCache cacheId="260" r:id="rId8"/>
  </pivotCaches>
  <extLst>
    <ext xmlns:x14="http://schemas.microsoft.com/office/spreadsheetml/2009/9/main" uri="{876F7934-8845-4945-9796-88D515C7AA90}">
      <x14:pivotCaches>
        <pivotCache cacheId="5" r:id="rId9"/>
      </x14:pivotCaches>
    </ex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acownicy_e5f3f3ea-d2ab-435f-949c-023d91de0a58" name="Pracownicy" connection="Zapytanie — Pracownicy"/>
          <x15:modelTable id="Działy_e37a1500-f9c7-402f-8ac9-85190a59526d" name="Działy" connection="Zapytanie — Działy"/>
          <x15:modelTable id="Absencje_5a40e03a-4471-42a2-b143-702285610cbf" name="Absencje" connection="Zapytanie — Absencje"/>
          <x15:modelTable id="Wynagrodzenia_b7d60ca6-32a5-4af9-9a20-303a1e311653" name="Wynagrodzenia" connection="Zapytanie — Wynagrodzenia"/>
          <x15:modelTable id="Kalendarz_dc3caa56-c7e3-463a-863a-23d29067e1c0" name="Kalendarz" connection="Zapytanie — Kalendarz"/>
        </x15:modelTables>
        <x15:modelRelationships>
          <x15:modelRelationship fromTable="Pracownicy" fromColumn="ID_Dzialu" toTable="Działy" toColumn="ID_Dzialu"/>
          <x15:modelRelationship fromTable="Absencje" fromColumn="ID_Pracownika" toTable="Pracownicy" toColumn="ID_Pracownika"/>
          <x15:modelRelationship fromTable="Wynagrodzenia" fromColumn="ID_Pracownika" toTable="Pracownicy" toColumn="ID_Pracownika"/>
          <x15:modelRelationship fromTable="Wynagrodzenia" fromColumn="Data" toTable="Kalendarz" toColumn="Dat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1" i="3" l="1" a="1"/>
  <c r="C1" i="3" s="1"/>
  <c r="A2" i="3" a="1"/>
  <c r="A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3599E8-D138-402B-8FE2-D8EE0A0604C5}" keepAlive="1" name="ThisWorkbookDataModel" description="Model danych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424EDE8-35C7-4335-AB37-422499C61C4C}" name="Zapytanie — Absencje" description="Połączenie z zapytaniem „Absencje” w skoroszycie." type="100" refreshedVersion="8" minRefreshableVersion="5">
    <extLst>
      <ext xmlns:x15="http://schemas.microsoft.com/office/spreadsheetml/2010/11/main" uri="{DE250136-89BD-433C-8126-D09CA5730AF9}">
        <x15:connection id="3894a6e0-52c1-433b-ab58-d9178c552593"/>
      </ext>
    </extLst>
  </connection>
  <connection id="3" xr16:uid="{0E476DBE-1400-4054-9FDA-2F9654C736A0}" name="Zapytanie — Działy" description="Połączenie z zapytaniem „Działy” w skoroszycie." type="100" refreshedVersion="8" minRefreshableVersion="5">
    <extLst>
      <ext xmlns:x15="http://schemas.microsoft.com/office/spreadsheetml/2010/11/main" uri="{DE250136-89BD-433C-8126-D09CA5730AF9}">
        <x15:connection id="78990cd8-d896-4026-b806-68a12f243e17"/>
      </ext>
    </extLst>
  </connection>
  <connection id="4" xr16:uid="{51A2FB04-3AEA-4212-B6AC-B45E7C0632D9}" name="Zapytanie — Kalendarz" description="Połączenie z zapytaniem „Kalendarz” w skoroszycie." type="100" refreshedVersion="8" minRefreshableVersion="5">
    <extLst>
      <ext xmlns:x15="http://schemas.microsoft.com/office/spreadsheetml/2010/11/main" uri="{DE250136-89BD-433C-8126-D09CA5730AF9}">
        <x15:connection id="413ca493-1ed3-42f0-b1cb-71b8feaacedf"/>
      </ext>
    </extLst>
  </connection>
  <connection id="5" xr16:uid="{90891B43-3332-493E-86FA-32A408A8F896}" name="Zapytanie — Pracownicy" description="Połączenie z zapytaniem „Pracownicy” w skoroszycie." type="100" refreshedVersion="8" minRefreshableVersion="5">
    <extLst>
      <ext xmlns:x15="http://schemas.microsoft.com/office/spreadsheetml/2010/11/main" uri="{DE250136-89BD-433C-8126-D09CA5730AF9}">
        <x15:connection id="78256a83-21ab-4fa6-a4ca-7ada1e0f89ea"/>
      </ext>
    </extLst>
  </connection>
  <connection id="6" xr16:uid="{714AA92E-0DF4-4485-8342-907513397162}" name="Zapytanie — Wynagrodzenia" description="Połączenie z zapytaniem „Wynagrodzenia” w skoroszycie." type="100" refreshedVersion="8" minRefreshableVersion="5">
    <extLst>
      <ext xmlns:x15="http://schemas.microsoft.com/office/spreadsheetml/2010/11/main" uri="{DE250136-89BD-433C-8126-D09CA5730AF9}">
        <x15:connection id="d311d025-f0c5-41a8-a296-242d56473ea6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<sst xmlns="http://schemas.openxmlformats.org/spreadsheetml/2006/main" count="72" uniqueCount="48">
  <si>
    <t>Etykiety wierszy</t>
  </si>
  <si>
    <t>Suma końcowa</t>
  </si>
  <si>
    <t>Nowozatrudnieni_w_okresie</t>
  </si>
  <si>
    <t>Zwolnieni_w_okresie</t>
  </si>
  <si>
    <t>Finanse</t>
  </si>
  <si>
    <t>HR</t>
  </si>
  <si>
    <t>IT</t>
  </si>
  <si>
    <t>Marketing</t>
  </si>
  <si>
    <t>Obsługa Klienta</t>
  </si>
  <si>
    <t>Sprzedaż</t>
  </si>
  <si>
    <t>Wskaznik_rotacji_proc</t>
  </si>
  <si>
    <t>Administrator systemów</t>
  </si>
  <si>
    <t>Analityk danych</t>
  </si>
  <si>
    <t>HR Business Partner</t>
  </si>
  <si>
    <t>Kierownik IT</t>
  </si>
  <si>
    <t>Kierownik marketingu</t>
  </si>
  <si>
    <t>Kierownik sprzedaży</t>
  </si>
  <si>
    <t>Kierownik zespołu</t>
  </si>
  <si>
    <t>Konsultant</t>
  </si>
  <si>
    <t>Kontroler finansowy</t>
  </si>
  <si>
    <t>Księgowy</t>
  </si>
  <si>
    <t>Programista</t>
  </si>
  <si>
    <t>Rekruter</t>
  </si>
  <si>
    <t>Specjalista ds. finansów</t>
  </si>
  <si>
    <t>Specjalista ds. HR</t>
  </si>
  <si>
    <t>Specjalista ds. marketingu</t>
  </si>
  <si>
    <t>Specjalista ds. sprzedaży</t>
  </si>
  <si>
    <t>Starszy konsultant</t>
  </si>
  <si>
    <t>Starszy specjalista ds. sprzedaży</t>
  </si>
  <si>
    <t>Srednie_wynagrodzenie</t>
  </si>
  <si>
    <t>Chorobowe</t>
  </si>
  <si>
    <t>Opieka nad dzieckiem</t>
  </si>
  <si>
    <t>Urlop na żądanie</t>
  </si>
  <si>
    <t>Urlop okolicznościowy</t>
  </si>
  <si>
    <t>Urlop wypoczynkowy</t>
  </si>
  <si>
    <t>Etykiety kolumn</t>
  </si>
  <si>
    <t>Dni_absencji</t>
  </si>
  <si>
    <t>Liczba_zatrudnionych_pracownikow</t>
  </si>
  <si>
    <t>Sredni_staz_lata</t>
  </si>
  <si>
    <t>Dni_absencji_na_pracownika</t>
  </si>
  <si>
    <t>Ścieżka</t>
  </si>
  <si>
    <t>Plik źródłowy</t>
  </si>
  <si>
    <t>hr_kadry_dane_zrodlowe.xlsx</t>
  </si>
  <si>
    <t>Logistyka</t>
  </si>
  <si>
    <t>Kierownik magazynu</t>
  </si>
  <si>
    <t>Magazynier</t>
  </si>
  <si>
    <t>Specjalista ds. logistyki</t>
  </si>
  <si>
    <t>Analityk marketingowy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</si>
</sst>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2" formatCode="_-* #,##0\ &quot;zł&quot;_-;\-* #,##0\ &quot;zł&quot;_-;_-* &quot;-&quot;\ &quot;zł&quot;_-;_-@_-"/>
    <numFmt numFmtId="164" formatCode="0.0"/>
    <numFmt numFmtId="165" formatCode="_-* #,##0\ [$zł-415]_-;\-* #,##0\ [$zł-415]_-;_-* &quot;-&quot;??\ [$zł-415]_-;_-@_-"/>
  </numFmts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0" applyNumberFormat="1"/>
    <xf numFmtId="10" fontId="0" fillId="0" borderId="0" xfId="0" applyNumberFormat="1"/>
    <xf numFmtId="42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9" fontId="0" fillId="0" borderId="0" xfId="1" applyFont="1"/>
    <xf numFmtId="0" fontId="0" fillId="0" borderId="0" xfId="0" applyAlignment="1">
      <alignment vertical="center"/>
    </xf>
    <xf numFmtId="0" fontId="0" fillId="0" borderId="0" xfId="0" applyNumberFormat="1"/>
  </cellXfs>
  <cellStyles count="2">
    <cellStyle name="Normalny" xfId="0" builtinId="0"/>
    <cellStyle name="Procentowy" xfId="1" builtinId="5"/>
  </cellStyles>
  <dxfs count="74">
    <dxf>
      <numFmt numFmtId="13" formatCode="0%"/>
    </dxf>
    <dxf>
      <numFmt numFmtId="164" formatCode="0.0"/>
    </dxf>
    <dxf>
      <numFmt numFmtId="165" formatCode="_-* #,##0\ [$zł-415]_-;\-* #,##0\ [$zł-415]_-;_-* &quot;-&quot;??\ [$zł-415]_-;_-@_-"/>
    </dxf>
    <dxf>
      <numFmt numFmtId="1" formatCode="0"/>
    </dxf>
    <dxf>
      <numFmt numFmtId="13" formatCode="0%"/>
    </dxf>
    <dxf>
      <numFmt numFmtId="164" formatCode="0.0"/>
    </dxf>
    <dxf>
      <numFmt numFmtId="165" formatCode="_-* #,##0\ [$zł-415]_-;\-* #,##0\ [$zł-415]_-;_-* &quot;-&quot;??\ [$zł-415]_-;_-@_-"/>
    </dxf>
    <dxf>
      <numFmt numFmtId="1" formatCode="0"/>
    </dxf>
    <dxf>
      <numFmt numFmtId="13" formatCode="0%"/>
    </dxf>
    <dxf>
      <numFmt numFmtId="164" formatCode="0.0"/>
    </dxf>
    <dxf>
      <numFmt numFmtId="165" formatCode="_-* #,##0\ [$zł-415]_-;\-* #,##0\ [$zł-415]_-;_-* &quot;-&quot;??\ [$zł-415]_-;_-@_-"/>
    </dxf>
    <dxf>
      <numFmt numFmtId="1" formatCode="0"/>
    </dxf>
    <dxf>
      <numFmt numFmtId="13" formatCode="0%"/>
    </dxf>
    <dxf>
      <numFmt numFmtId="164" formatCode="0.0"/>
    </dxf>
    <dxf>
      <numFmt numFmtId="165" formatCode="_-* #,##0\ [$zł-415]_-;\-* #,##0\ [$zł-415]_-;_-* &quot;-&quot;??\ [$zł-415]_-;_-@_-"/>
    </dxf>
    <dxf>
      <numFmt numFmtId="1" formatCode="0"/>
    </dxf>
    <dxf>
      <numFmt numFmtId="13" formatCode="0%"/>
    </dxf>
    <dxf>
      <numFmt numFmtId="164" formatCode="0.0"/>
    </dxf>
    <dxf>
      <numFmt numFmtId="165" formatCode="_-* #,##0\ [$zł-415]_-;\-* #,##0\ [$zł-415]_-;_-* &quot;-&quot;??\ [$zł-415]_-;_-@_-"/>
    </dxf>
    <dxf>
      <numFmt numFmtId="1" formatCode="0"/>
    </dxf>
    <dxf>
      <numFmt numFmtId="13" formatCode="0%"/>
    </dxf>
    <dxf>
      <numFmt numFmtId="164" formatCode="0.0"/>
    </dxf>
    <dxf>
      <numFmt numFmtId="165" formatCode="_-* #,##0\ [$zł-415]_-;\-* #,##0\ [$zł-415]_-;_-* &quot;-&quot;??\ [$zł-415]_-;_-@_-"/>
    </dxf>
    <dxf>
      <numFmt numFmtId="1" formatCode="0"/>
    </dxf>
    <dxf>
      <numFmt numFmtId="13" formatCode="0%"/>
    </dxf>
    <dxf>
      <numFmt numFmtId="164" formatCode="0.0"/>
    </dxf>
    <dxf>
      <numFmt numFmtId="165" formatCode="_-* #,##0\ [$zł-415]_-;\-* #,##0\ [$zł-415]_-;_-* &quot;-&quot;??\ [$zł-415]_-;_-@_-"/>
    </dxf>
    <dxf>
      <numFmt numFmtId="1" formatCode="0"/>
    </dxf>
    <dxf>
      <numFmt numFmtId="13" formatCode="0%"/>
    </dxf>
    <dxf>
      <numFmt numFmtId="164" formatCode="0.0"/>
    </dxf>
    <dxf>
      <numFmt numFmtId="165" formatCode="_-* #,##0\ [$zł-415]_-;\-* #,##0\ [$zł-415]_-;_-* &quot;-&quot;??\ [$zł-415]_-;_-@_-"/>
    </dxf>
    <dxf>
      <numFmt numFmtId="1" formatCode="0"/>
    </dxf>
    <dxf>
      <numFmt numFmtId="13" formatCode="0%"/>
    </dxf>
    <dxf>
      <numFmt numFmtId="164" formatCode="0.0"/>
    </dxf>
    <dxf>
      <numFmt numFmtId="165" formatCode="_-* #,##0\ [$zł-415]_-;\-* #,##0\ [$zł-415]_-;_-* &quot;-&quot;??\ [$zł-415]_-;_-@_-"/>
    </dxf>
    <dxf>
      <numFmt numFmtId="1" formatCode="0"/>
    </dxf>
    <dxf>
      <numFmt numFmtId="13" formatCode="0%"/>
    </dxf>
    <dxf>
      <numFmt numFmtId="164" formatCode="0.0"/>
    </dxf>
    <dxf>
      <numFmt numFmtId="165" formatCode="_-* #,##0\ [$zł-415]_-;\-* #,##0\ [$zł-415]_-;_-* &quot;-&quot;??\ [$zł-415]_-;_-@_-"/>
    </dxf>
    <dxf>
      <numFmt numFmtId="1" formatCode="0"/>
    </dxf>
    <dxf>
      <numFmt numFmtId="13" formatCode="0%"/>
    </dxf>
    <dxf>
      <numFmt numFmtId="164" formatCode="0.0"/>
    </dxf>
    <dxf>
      <numFmt numFmtId="165" formatCode="_-* #,##0\ [$zł-415]_-;\-* #,##0\ [$zł-415]_-;_-* &quot;-&quot;??\ [$zł-415]_-;_-@_-"/>
    </dxf>
    <dxf>
      <numFmt numFmtId="1" formatCode="0"/>
    </dxf>
    <dxf>
      <numFmt numFmtId="13" formatCode="0%"/>
    </dxf>
    <dxf>
      <numFmt numFmtId="164" formatCode="0.0"/>
    </dxf>
    <dxf>
      <numFmt numFmtId="165" formatCode="_-* #,##0\ [$zł-415]_-;\-* #,##0\ [$zł-415]_-;_-* &quot;-&quot;??\ [$zł-415]_-;_-@_-"/>
    </dxf>
    <dxf>
      <numFmt numFmtId="1" formatCode="0"/>
    </dxf>
    <dxf>
      <numFmt numFmtId="13" formatCode="0%"/>
    </dxf>
    <dxf>
      <numFmt numFmtId="164" formatCode="0.0"/>
    </dxf>
    <dxf>
      <numFmt numFmtId="165" formatCode="_-* #,##0\ [$zł-415]_-;\-* #,##0\ [$zł-415]_-;_-* &quot;-&quot;??\ [$zł-415]_-;_-@_-"/>
    </dxf>
    <dxf>
      <numFmt numFmtId="1" formatCode="0"/>
    </dxf>
    <dxf>
      <numFmt numFmtId="13" formatCode="0%"/>
    </dxf>
    <dxf>
      <numFmt numFmtId="164" formatCode="0.0"/>
    </dxf>
    <dxf>
      <numFmt numFmtId="165" formatCode="_-* #,##0\ [$zł-415]_-;\-* #,##0\ [$zł-415]_-;_-* &quot;-&quot;??\ [$zł-415]_-;_-@_-"/>
    </dxf>
    <dxf>
      <numFmt numFmtId="1" formatCode="0"/>
    </dxf>
    <dxf>
      <numFmt numFmtId="13" formatCode="0%"/>
    </dxf>
    <dxf>
      <numFmt numFmtId="164" formatCode="0.0"/>
    </dxf>
    <dxf>
      <numFmt numFmtId="165" formatCode="_-* #,##0\ [$zł-415]_-;\-* #,##0\ [$zł-415]_-;_-* &quot;-&quot;??\ [$zł-415]_-;_-@_-"/>
    </dxf>
    <dxf>
      <numFmt numFmtId="1" formatCode="0"/>
    </dxf>
    <dxf>
      <numFmt numFmtId="13" formatCode="0%"/>
    </dxf>
    <dxf>
      <numFmt numFmtId="164" formatCode="0.0"/>
    </dxf>
    <dxf>
      <numFmt numFmtId="165" formatCode="_-* #,##0\ [$zł-415]_-;\-* #,##0\ [$zł-415]_-;_-* &quot;-&quot;??\ [$zł-415]_-;_-@_-"/>
    </dxf>
    <dxf>
      <numFmt numFmtId="1" formatCode="0"/>
    </dxf>
    <dxf>
      <numFmt numFmtId="13" formatCode="0%"/>
    </dxf>
    <dxf>
      <numFmt numFmtId="164" formatCode="0.0"/>
    </dxf>
    <dxf>
      <numFmt numFmtId="165" formatCode="_-* #,##0\ [$zł-415]_-;\-* #,##0\ [$zł-415]_-;_-* &quot;-&quot;??\ [$zł-415]_-;_-@_-"/>
    </dxf>
    <dxf>
      <numFmt numFmtId="1" formatCode="0"/>
    </dxf>
    <dxf>
      <numFmt numFmtId="1" formatCode="0"/>
    </dxf>
    <dxf>
      <numFmt numFmtId="165" formatCode="_-* #,##0\ [$zł-415]_-;\-* #,##0\ [$zł-415]_-;_-* &quot;-&quot;??\ [$zł-415]_-;_-@_-"/>
    </dxf>
    <dxf>
      <numFmt numFmtId="164" formatCode="0.0"/>
    </dxf>
    <dxf>
      <numFmt numFmtId="13" formatCode="0%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b val="0"/>
        <i val="0"/>
        <strike val="0"/>
        <sz val="10"/>
        <color theme="1"/>
        <name val="Arial"/>
        <family val="2"/>
        <charset val="238"/>
        <scheme val="none"/>
      </font>
      <fill>
        <patternFill patternType="solid">
          <bgColor theme="6" tint="0.39994506668294322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CustomSlicerStyle1" pivot="0" table="0" count="10" xr9:uid="{7C10D94C-E1B4-4B7A-B0F9-0B61BCBCDF0E}">
      <tableStyleElement type="wholeTable" dxfId="73"/>
      <tableStyleElement type="headerRow" dxfId="72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CustomSlicerStyle1">
        <x14:slicerStyle name="CustomSlicerStyle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4.xml"/><Relationship Id="rId18" Type="http://schemas.openxmlformats.org/officeDocument/2006/relationships/sheetMetadata" Target="metadata.xml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47" Type="http://schemas.openxmlformats.org/officeDocument/2006/relationships/customXml" Target="../customXml/item27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9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microsoft.com/office/2007/relationships/slicerCache" Target="slicerCaches/slicerCache2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45" Type="http://schemas.openxmlformats.org/officeDocument/2006/relationships/customXml" Target="../customXml/item25.xml"/><Relationship Id="rId5" Type="http://schemas.openxmlformats.org/officeDocument/2006/relationships/pivotCacheDefinition" Target="pivotCache/pivotCacheDefinition2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microsoft.com/office/2007/relationships/slicerCache" Target="slicerCaches/slicerCache1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1.xml"/><Relationship Id="rId44" Type="http://schemas.openxmlformats.org/officeDocument/2006/relationships/customXml" Target="../customXml/item24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theme" Target="theme/theme1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43" Type="http://schemas.openxmlformats.org/officeDocument/2006/relationships/customXml" Target="../customXml/item23.xml"/><Relationship Id="rId48" Type="http://schemas.openxmlformats.org/officeDocument/2006/relationships/customXml" Target="../customXml/item28.xml"/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12" Type="http://schemas.microsoft.com/office/2007/relationships/slicerCache" Target="slicerCaches/slicerCache3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46" Type="http://schemas.openxmlformats.org/officeDocument/2006/relationships/customXml" Target="../customXml/item26.xml"/><Relationship Id="rId20" Type="http://schemas.openxmlformats.org/officeDocument/2006/relationships/calcChain" Target="calcChain.xml"/><Relationship Id="rId41" Type="http://schemas.openxmlformats.org/officeDocument/2006/relationships/customXml" Target="../customXml/item2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[HR-kadry.xlsx]Analiza!Liczba zatrudnionych pracowników w czasie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l-PL" sz="1600">
                <a:latin typeface="Arial" panose="020B0604020202020204" pitchFamily="34" charset="0"/>
                <a:cs typeface="Arial" panose="020B0604020202020204" pitchFamily="34" charset="0"/>
              </a:rPr>
              <a:t>Zatrudnienie</a:t>
            </a:r>
            <a:r>
              <a:rPr lang="pl-PL" sz="1600" baseline="0">
                <a:latin typeface="Arial" panose="020B0604020202020204" pitchFamily="34" charset="0"/>
                <a:cs typeface="Arial" panose="020B0604020202020204" pitchFamily="34" charset="0"/>
              </a:rPr>
              <a:t> pracowników w czasie</a:t>
            </a:r>
            <a:endParaRPr lang="pl-PL" sz="16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0388989197530867"/>
          <c:y val="2.48227777777777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3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7093803003583182E-2"/>
          <c:y val="0.14882978723404255"/>
          <c:w val="0.94824701120633814"/>
          <c:h val="0.76919054001228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Analiza!$B$3</c:f>
              <c:strCache>
                <c:ptCount val="1"/>
                <c:pt idx="0">
                  <c:v>Liczba_zatrudnionych_pracownikow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Analiza!$A$4:$A$7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Analiza!$B$4:$B$7</c:f>
              <c:numCache>
                <c:formatCode>General</c:formatCode>
                <c:ptCount val="3"/>
                <c:pt idx="0">
                  <c:v>106</c:v>
                </c:pt>
                <c:pt idx="1">
                  <c:v>118</c:v>
                </c:pt>
                <c:pt idx="2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0-4EC5-A8ED-466372A944DB}"/>
            </c:ext>
          </c:extLst>
        </c:ser>
        <c:ser>
          <c:idx val="1"/>
          <c:order val="1"/>
          <c:tx>
            <c:strRef>
              <c:f>Analiza!$C$3</c:f>
              <c:strCache>
                <c:ptCount val="1"/>
                <c:pt idx="0">
                  <c:v>Nowozatrudnieni_w_okresie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Analiza!$A$4:$A$7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Analiza!$C$4:$C$7</c:f>
              <c:numCache>
                <c:formatCode>General</c:formatCode>
                <c:ptCount val="3"/>
                <c:pt idx="0">
                  <c:v>23</c:v>
                </c:pt>
                <c:pt idx="1">
                  <c:v>28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80-4EC5-A8ED-466372A944DB}"/>
            </c:ext>
          </c:extLst>
        </c:ser>
        <c:ser>
          <c:idx val="2"/>
          <c:order val="2"/>
          <c:tx>
            <c:strRef>
              <c:f>Analiza!$D$3</c:f>
              <c:strCache>
                <c:ptCount val="1"/>
                <c:pt idx="0">
                  <c:v>Zwolnieni_w_okresie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3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Analiza!$A$4:$A$7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Analiza!$D$4:$D$7</c:f>
              <c:numCache>
                <c:formatCode>General</c:formatCode>
                <c:ptCount val="3"/>
                <c:pt idx="0">
                  <c:v>10</c:v>
                </c:pt>
                <c:pt idx="1">
                  <c:v>16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80-4EC5-A8ED-466372A944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951278624"/>
        <c:axId val="1771859184"/>
      </c:barChart>
      <c:valAx>
        <c:axId val="17718591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51278624"/>
        <c:crosses val="max"/>
        <c:crossBetween val="between"/>
      </c:valAx>
      <c:catAx>
        <c:axId val="1951278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718591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3589043209876549"/>
          <c:y val="1.7147222222222229E-3"/>
          <c:w val="0.42516859567901233"/>
          <c:h val="0.147767222222222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[HR-kadry.xlsx]Analiza!Rotacja wg działu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600">
                <a:latin typeface="Arial" panose="020B0604020202020204" pitchFamily="34" charset="0"/>
                <a:cs typeface="Arial" panose="020B0604020202020204" pitchFamily="34" charset="0"/>
              </a:rPr>
              <a:t>Rotacja wg działu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Analiza!$G$3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Analiza!$F$4:$F$11</c:f>
              <c:strCache>
                <c:ptCount val="7"/>
                <c:pt idx="0">
                  <c:v>Finanse</c:v>
                </c:pt>
                <c:pt idx="1">
                  <c:v>HR</c:v>
                </c:pt>
                <c:pt idx="2">
                  <c:v>IT</c:v>
                </c:pt>
                <c:pt idx="3">
                  <c:v>Logistyka</c:v>
                </c:pt>
                <c:pt idx="4">
                  <c:v>Marketing</c:v>
                </c:pt>
                <c:pt idx="5">
                  <c:v>Obsługa Klienta</c:v>
                </c:pt>
                <c:pt idx="6">
                  <c:v>Sprzedaż</c:v>
                </c:pt>
              </c:strCache>
            </c:strRef>
          </c:cat>
          <c:val>
            <c:numRef>
              <c:f>Analiza!$G$4:$G$11</c:f>
              <c:numCache>
                <c:formatCode>0.00%</c:formatCode>
                <c:ptCount val="7"/>
                <c:pt idx="0">
                  <c:v>6.25E-2</c:v>
                </c:pt>
                <c:pt idx="1">
                  <c:v>0.8</c:v>
                </c:pt>
                <c:pt idx="2">
                  <c:v>7.6923076923076927E-2</c:v>
                </c:pt>
                <c:pt idx="3">
                  <c:v>1.2</c:v>
                </c:pt>
                <c:pt idx="4">
                  <c:v>0.25</c:v>
                </c:pt>
                <c:pt idx="5">
                  <c:v>0.84210526315789469</c:v>
                </c:pt>
                <c:pt idx="6">
                  <c:v>0.18181818181818182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A0-4FEA-BD09-7A8BC56A4A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76118928"/>
        <c:axId val="1779582096"/>
      </c:barChart>
      <c:catAx>
        <c:axId val="2076118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79582096"/>
        <c:crosses val="autoZero"/>
        <c:auto val="1"/>
        <c:lblAlgn val="ctr"/>
        <c:lblOffset val="100"/>
        <c:noMultiLvlLbl val="0"/>
      </c:catAx>
      <c:valAx>
        <c:axId val="177958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7611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[HR-kadry.xlsx]Analiza!Absencje wg typu i działu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600">
                <a:latin typeface="Arial" panose="020B0604020202020204" pitchFamily="34" charset="0"/>
                <a:cs typeface="Arial" panose="020B0604020202020204" pitchFamily="34" charset="0"/>
              </a:rPr>
              <a:t>Absencje wg typu i działu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Analiza!$M$3:$M$4</c:f>
              <c:strCache>
                <c:ptCount val="1"/>
                <c:pt idx="0">
                  <c:v>Finanse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Analiza!$L$5:$L$10</c:f>
              <c:strCache>
                <c:ptCount val="5"/>
                <c:pt idx="0">
                  <c:v>Chorobowe</c:v>
                </c:pt>
                <c:pt idx="1">
                  <c:v>Opieka nad dzieckiem</c:v>
                </c:pt>
                <c:pt idx="2">
                  <c:v>Urlop na żądanie</c:v>
                </c:pt>
                <c:pt idx="3">
                  <c:v>Urlop okolicznościowy</c:v>
                </c:pt>
                <c:pt idx="4">
                  <c:v>Urlop wypoczynkowy</c:v>
                </c:pt>
              </c:strCache>
            </c:strRef>
          </c:cat>
          <c:val>
            <c:numRef>
              <c:f>Analiza!$M$5:$M$10</c:f>
              <c:numCache>
                <c:formatCode>General</c:formatCode>
                <c:ptCount val="5"/>
                <c:pt idx="0">
                  <c:v>83</c:v>
                </c:pt>
                <c:pt idx="1">
                  <c:v>2</c:v>
                </c:pt>
                <c:pt idx="2">
                  <c:v>15</c:v>
                </c:pt>
                <c:pt idx="3">
                  <c:v>5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FD5-44AD-97C7-3C5CA069F4CC}"/>
            </c:ext>
          </c:extLst>
        </c:ser>
        <c:ser>
          <c:idx val="1"/>
          <c:order val="1"/>
          <c:tx>
            <c:strRef>
              <c:f>Analiza!$N$3:$N$4</c:f>
              <c:strCache>
                <c:ptCount val="1"/>
                <c:pt idx="0">
                  <c:v>HR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Analiza!$L$5:$L$10</c:f>
              <c:strCache>
                <c:ptCount val="5"/>
                <c:pt idx="0">
                  <c:v>Chorobowe</c:v>
                </c:pt>
                <c:pt idx="1">
                  <c:v>Opieka nad dzieckiem</c:v>
                </c:pt>
                <c:pt idx="2">
                  <c:v>Urlop na żądanie</c:v>
                </c:pt>
                <c:pt idx="3">
                  <c:v>Urlop okolicznościowy</c:v>
                </c:pt>
                <c:pt idx="4">
                  <c:v>Urlop wypoczynkowy</c:v>
                </c:pt>
              </c:strCache>
            </c:strRef>
          </c:cat>
          <c:val>
            <c:numRef>
              <c:f>Analiza!$N$5:$N$10</c:f>
              <c:numCache>
                <c:formatCode>General</c:formatCode>
                <c:ptCount val="5"/>
                <c:pt idx="0">
                  <c:v>59</c:v>
                </c:pt>
                <c:pt idx="1">
                  <c:v>10</c:v>
                </c:pt>
                <c:pt idx="2">
                  <c:v>4</c:v>
                </c:pt>
                <c:pt idx="3">
                  <c:v>23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1CC7-4E50-9502-2997DC9816C0}"/>
            </c:ext>
          </c:extLst>
        </c:ser>
        <c:ser>
          <c:idx val="2"/>
          <c:order val="2"/>
          <c:tx>
            <c:strRef>
              <c:f>Analiza!$O$3:$O$4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Analiza!$L$5:$L$10</c:f>
              <c:strCache>
                <c:ptCount val="5"/>
                <c:pt idx="0">
                  <c:v>Chorobowe</c:v>
                </c:pt>
                <c:pt idx="1">
                  <c:v>Opieka nad dzieckiem</c:v>
                </c:pt>
                <c:pt idx="2">
                  <c:v>Urlop na żądanie</c:v>
                </c:pt>
                <c:pt idx="3">
                  <c:v>Urlop okolicznościowy</c:v>
                </c:pt>
                <c:pt idx="4">
                  <c:v>Urlop wypoczynkowy</c:v>
                </c:pt>
              </c:strCache>
            </c:strRef>
          </c:cat>
          <c:val>
            <c:numRef>
              <c:f>Analiza!$O$5:$O$10</c:f>
              <c:numCache>
                <c:formatCode>General</c:formatCode>
                <c:ptCount val="5"/>
                <c:pt idx="0">
                  <c:v>99</c:v>
                </c:pt>
                <c:pt idx="1">
                  <c:v>37</c:v>
                </c:pt>
                <c:pt idx="2">
                  <c:v>18</c:v>
                </c:pt>
                <c:pt idx="3">
                  <c:v>2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1CC7-4E50-9502-2997DC9816C0}"/>
            </c:ext>
          </c:extLst>
        </c:ser>
        <c:ser>
          <c:idx val="3"/>
          <c:order val="3"/>
          <c:tx>
            <c:strRef>
              <c:f>Analiza!$P$3:$P$4</c:f>
              <c:strCache>
                <c:ptCount val="1"/>
                <c:pt idx="0">
                  <c:v>Logistyka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Analiza!$L$5:$L$10</c:f>
              <c:strCache>
                <c:ptCount val="5"/>
                <c:pt idx="0">
                  <c:v>Chorobowe</c:v>
                </c:pt>
                <c:pt idx="1">
                  <c:v>Opieka nad dzieckiem</c:v>
                </c:pt>
                <c:pt idx="2">
                  <c:v>Urlop na żądanie</c:v>
                </c:pt>
                <c:pt idx="3">
                  <c:v>Urlop okolicznościowy</c:v>
                </c:pt>
                <c:pt idx="4">
                  <c:v>Urlop wypoczynkowy</c:v>
                </c:pt>
              </c:strCache>
            </c:strRef>
          </c:cat>
          <c:val>
            <c:numRef>
              <c:f>Analiza!$P$5:$P$10</c:f>
              <c:numCache>
                <c:formatCode>General</c:formatCode>
                <c:ptCount val="5"/>
                <c:pt idx="0">
                  <c:v>468</c:v>
                </c:pt>
                <c:pt idx="1">
                  <c:v>19</c:v>
                </c:pt>
                <c:pt idx="2">
                  <c:v>28</c:v>
                </c:pt>
                <c:pt idx="3">
                  <c:v>14</c:v>
                </c:pt>
                <c:pt idx="4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1CC7-4E50-9502-2997DC9816C0}"/>
            </c:ext>
          </c:extLst>
        </c:ser>
        <c:ser>
          <c:idx val="4"/>
          <c:order val="4"/>
          <c:tx>
            <c:strRef>
              <c:f>Analiza!$Q$3:$Q$4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Analiza!$L$5:$L$10</c:f>
              <c:strCache>
                <c:ptCount val="5"/>
                <c:pt idx="0">
                  <c:v>Chorobowe</c:v>
                </c:pt>
                <c:pt idx="1">
                  <c:v>Opieka nad dzieckiem</c:v>
                </c:pt>
                <c:pt idx="2">
                  <c:v>Urlop na żądanie</c:v>
                </c:pt>
                <c:pt idx="3">
                  <c:v>Urlop okolicznościowy</c:v>
                </c:pt>
                <c:pt idx="4">
                  <c:v>Urlop wypoczynkowy</c:v>
                </c:pt>
              </c:strCache>
            </c:strRef>
          </c:cat>
          <c:val>
            <c:numRef>
              <c:f>Analiza!$Q$5:$Q$10</c:f>
              <c:numCache>
                <c:formatCode>General</c:formatCode>
                <c:ptCount val="5"/>
                <c:pt idx="0">
                  <c:v>87</c:v>
                </c:pt>
                <c:pt idx="1">
                  <c:v>7</c:v>
                </c:pt>
                <c:pt idx="2">
                  <c:v>41</c:v>
                </c:pt>
                <c:pt idx="3">
                  <c:v>27</c:v>
                </c:pt>
                <c:pt idx="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1CC7-4E50-9502-2997DC9816C0}"/>
            </c:ext>
          </c:extLst>
        </c:ser>
        <c:ser>
          <c:idx val="5"/>
          <c:order val="5"/>
          <c:tx>
            <c:strRef>
              <c:f>Analiza!$R$3:$R$4</c:f>
              <c:strCache>
                <c:ptCount val="1"/>
                <c:pt idx="0">
                  <c:v>Obsługa Klienta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Analiza!$L$5:$L$10</c:f>
              <c:strCache>
                <c:ptCount val="5"/>
                <c:pt idx="0">
                  <c:v>Chorobowe</c:v>
                </c:pt>
                <c:pt idx="1">
                  <c:v>Opieka nad dzieckiem</c:v>
                </c:pt>
                <c:pt idx="2">
                  <c:v>Urlop na żądanie</c:v>
                </c:pt>
                <c:pt idx="3">
                  <c:v>Urlop okolicznościowy</c:v>
                </c:pt>
                <c:pt idx="4">
                  <c:v>Urlop wypoczynkowy</c:v>
                </c:pt>
              </c:strCache>
            </c:strRef>
          </c:cat>
          <c:val>
            <c:numRef>
              <c:f>Analiza!$R$5:$R$10</c:f>
              <c:numCache>
                <c:formatCode>General</c:formatCode>
                <c:ptCount val="5"/>
                <c:pt idx="0">
                  <c:v>208</c:v>
                </c:pt>
                <c:pt idx="1">
                  <c:v>32</c:v>
                </c:pt>
                <c:pt idx="2">
                  <c:v>106</c:v>
                </c:pt>
                <c:pt idx="3">
                  <c:v>21</c:v>
                </c:pt>
                <c:pt idx="4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6A-433C-A34B-617DBA38FDC9}"/>
            </c:ext>
          </c:extLst>
        </c:ser>
        <c:ser>
          <c:idx val="6"/>
          <c:order val="6"/>
          <c:tx>
            <c:strRef>
              <c:f>Analiza!$S$3:$S$4</c:f>
              <c:strCache>
                <c:ptCount val="1"/>
                <c:pt idx="0">
                  <c:v>Sprzedaż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Analiza!$L$5:$L$10</c:f>
              <c:strCache>
                <c:ptCount val="5"/>
                <c:pt idx="0">
                  <c:v>Chorobowe</c:v>
                </c:pt>
                <c:pt idx="1">
                  <c:v>Opieka nad dzieckiem</c:v>
                </c:pt>
                <c:pt idx="2">
                  <c:v>Urlop na żądanie</c:v>
                </c:pt>
                <c:pt idx="3">
                  <c:v>Urlop okolicznościowy</c:v>
                </c:pt>
                <c:pt idx="4">
                  <c:v>Urlop wypoczynkowy</c:v>
                </c:pt>
              </c:strCache>
            </c:strRef>
          </c:cat>
          <c:val>
            <c:numRef>
              <c:f>Analiza!$S$5:$S$10</c:f>
              <c:numCache>
                <c:formatCode>General</c:formatCode>
                <c:ptCount val="5"/>
                <c:pt idx="0">
                  <c:v>134</c:v>
                </c:pt>
                <c:pt idx="1">
                  <c:v>15</c:v>
                </c:pt>
                <c:pt idx="2">
                  <c:v>40</c:v>
                </c:pt>
                <c:pt idx="3">
                  <c:v>38</c:v>
                </c:pt>
                <c:pt idx="4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6A-433C-A34B-617DBA38F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262335"/>
        <c:axId val="1779533136"/>
      </c:barChart>
      <c:catAx>
        <c:axId val="21826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79533136"/>
        <c:crosses val="autoZero"/>
        <c:auto val="1"/>
        <c:lblAlgn val="ctr"/>
        <c:lblOffset val="100"/>
        <c:noMultiLvlLbl val="0"/>
      </c:catAx>
      <c:valAx>
        <c:axId val="177953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826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[HR-kadry.xlsx]Analiza!Wynagrodzenia wg działu i stanowiska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1600">
                <a:latin typeface="Arial" panose="020B0604020202020204" pitchFamily="34" charset="0"/>
                <a:cs typeface="Arial" panose="020B0604020202020204" pitchFamily="34" charset="0"/>
              </a:rPr>
              <a:t>Wynagrodzenia wg działu i stanowiska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Analiza!$J$3</c:f>
              <c:strCache>
                <c:ptCount val="1"/>
                <c:pt idx="0">
                  <c:v>Suma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Analiza!$I$4:$I$33</c:f>
              <c:multiLvlStrCache>
                <c:ptCount val="22"/>
                <c:lvl>
                  <c:pt idx="0">
                    <c:v>Kontroler finansowy</c:v>
                  </c:pt>
                  <c:pt idx="1">
                    <c:v>Księgowy</c:v>
                  </c:pt>
                  <c:pt idx="2">
                    <c:v>Specjalista ds. finansów</c:v>
                  </c:pt>
                  <c:pt idx="3">
                    <c:v>HR Business Partner</c:v>
                  </c:pt>
                  <c:pt idx="4">
                    <c:v>Rekruter</c:v>
                  </c:pt>
                  <c:pt idx="5">
                    <c:v>Specjalista ds. HR</c:v>
                  </c:pt>
                  <c:pt idx="6">
                    <c:v>Administrator systemów</c:v>
                  </c:pt>
                  <c:pt idx="7">
                    <c:v>Analityk danych</c:v>
                  </c:pt>
                  <c:pt idx="8">
                    <c:v>Kierownik IT</c:v>
                  </c:pt>
                  <c:pt idx="9">
                    <c:v>Programista</c:v>
                  </c:pt>
                  <c:pt idx="10">
                    <c:v>Kierownik magazynu</c:v>
                  </c:pt>
                  <c:pt idx="11">
                    <c:v>Magazynier</c:v>
                  </c:pt>
                  <c:pt idx="12">
                    <c:v>Specjalista ds. logistyki</c:v>
                  </c:pt>
                  <c:pt idx="13">
                    <c:v>Analityk marketingowy</c:v>
                  </c:pt>
                  <c:pt idx="14">
                    <c:v>Kierownik marketingu</c:v>
                  </c:pt>
                  <c:pt idx="15">
                    <c:v>Specjalista ds. marketingu</c:v>
                  </c:pt>
                  <c:pt idx="16">
                    <c:v>Kierownik zespołu</c:v>
                  </c:pt>
                  <c:pt idx="17">
                    <c:v>Konsultant</c:v>
                  </c:pt>
                  <c:pt idx="18">
                    <c:v>Starszy konsultant</c:v>
                  </c:pt>
                  <c:pt idx="19">
                    <c:v>Kierownik sprzedaży</c:v>
                  </c:pt>
                  <c:pt idx="20">
                    <c:v>Specjalista ds. sprzedaży</c:v>
                  </c:pt>
                  <c:pt idx="21">
                    <c:v>Starszy specjalista ds. sprzedaży</c:v>
                  </c:pt>
                </c:lvl>
                <c:lvl>
                  <c:pt idx="0">
                    <c:v>Finanse</c:v>
                  </c:pt>
                  <c:pt idx="3">
                    <c:v>HR</c:v>
                  </c:pt>
                  <c:pt idx="6">
                    <c:v>IT</c:v>
                  </c:pt>
                  <c:pt idx="10">
                    <c:v>Logistyka</c:v>
                  </c:pt>
                  <c:pt idx="13">
                    <c:v>Marketing</c:v>
                  </c:pt>
                  <c:pt idx="16">
                    <c:v>Obsługa Klienta</c:v>
                  </c:pt>
                  <c:pt idx="19">
                    <c:v>Sprzedaż</c:v>
                  </c:pt>
                </c:lvl>
              </c:multiLvlStrCache>
            </c:multiLvlStrRef>
          </c:cat>
          <c:val>
            <c:numRef>
              <c:f>Analiza!$J$4:$J$33</c:f>
              <c:numCache>
                <c:formatCode>_("zł"* #,##0_);_("zł"* \(#,##0\);_("zł"* "-"_);_(@_)</c:formatCode>
                <c:ptCount val="22"/>
                <c:pt idx="0">
                  <c:v>9120.09786516854</c:v>
                </c:pt>
                <c:pt idx="1">
                  <c:v>9128.0949074074088</c:v>
                </c:pt>
                <c:pt idx="2">
                  <c:v>9144.4701162790643</c:v>
                </c:pt>
                <c:pt idx="3">
                  <c:v>13993.908535031847</c:v>
                </c:pt>
                <c:pt idx="4">
                  <c:v>7987.491806167398</c:v>
                </c:pt>
                <c:pt idx="5">
                  <c:v>7966.7083018867925</c:v>
                </c:pt>
                <c:pt idx="6">
                  <c:v>9903.7655932203397</c:v>
                </c:pt>
                <c:pt idx="7">
                  <c:v>9483.8890555555536</c:v>
                </c:pt>
                <c:pt idx="8">
                  <c:v>17970.64404040404</c:v>
                </c:pt>
                <c:pt idx="9">
                  <c:v>11211.183524590168</c:v>
                </c:pt>
                <c:pt idx="10">
                  <c:v>11382.110578947368</c:v>
                </c:pt>
                <c:pt idx="11">
                  <c:v>6395.8660122699393</c:v>
                </c:pt>
                <c:pt idx="12">
                  <c:v>6408.5139366515832</c:v>
                </c:pt>
                <c:pt idx="13">
                  <c:v>8923.3809121621598</c:v>
                </c:pt>
                <c:pt idx="14">
                  <c:v>13466.640378787868</c:v>
                </c:pt>
                <c:pt idx="15">
                  <c:v>7628.0674666666673</c:v>
                </c:pt>
                <c:pt idx="16">
                  <c:v>10641.683157894737</c:v>
                </c:pt>
                <c:pt idx="17">
                  <c:v>6182.6587550200793</c:v>
                </c:pt>
                <c:pt idx="18">
                  <c:v>7055.7201562499949</c:v>
                </c:pt>
                <c:pt idx="19">
                  <c:v>12148.193095238083</c:v>
                </c:pt>
                <c:pt idx="20">
                  <c:v>8837.6073728813553</c:v>
                </c:pt>
                <c:pt idx="21">
                  <c:v>7849.5168095238059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13-4A45-9D17-A8883A01EA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8240991"/>
        <c:axId val="2072744304"/>
      </c:lineChart>
      <c:catAx>
        <c:axId val="218240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72744304"/>
        <c:crosses val="autoZero"/>
        <c:auto val="1"/>
        <c:lblAlgn val="ctr"/>
        <c:lblOffset val="100"/>
        <c:noMultiLvlLbl val="0"/>
      </c:catAx>
      <c:valAx>
        <c:axId val="207274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zł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8240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85725</xdr:rowOff>
    </xdr:from>
    <xdr:to>
      <xdr:col>21</xdr:col>
      <xdr:colOff>234600</xdr:colOff>
      <xdr:row>4</xdr:row>
      <xdr:rowOff>43725</xdr:rowOff>
    </xdr:to>
    <xdr:sp macro="" textlink="">
      <xdr:nvSpPr>
        <xdr:cNvPr id="4" name="Prostokąt: zaokrąglone rogi 3">
          <a:extLst>
            <a:ext uri="{FF2B5EF4-FFF2-40B4-BE49-F238E27FC236}">
              <a16:creationId xmlns:a16="http://schemas.microsoft.com/office/drawing/2014/main" id="{4066A2E6-FFA9-0308-460C-12256F06EA3A}"/>
            </a:ext>
          </a:extLst>
        </xdr:cNvPr>
        <xdr:cNvSpPr/>
      </xdr:nvSpPr>
      <xdr:spPr>
        <a:xfrm>
          <a:off x="76200" y="85725"/>
          <a:ext cx="12960000" cy="720000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2000">
              <a:latin typeface="Arial" panose="020B0604020202020204" pitchFamily="34" charset="0"/>
              <a:cs typeface="Arial" panose="020B0604020202020204" pitchFamily="34" charset="0"/>
            </a:rPr>
            <a:t>Analiza HR</a:t>
          </a:r>
          <a:r>
            <a:rPr lang="pl-PL" sz="2000" baseline="0">
              <a:latin typeface="Arial" panose="020B0604020202020204" pitchFamily="34" charset="0"/>
              <a:cs typeface="Arial" panose="020B0604020202020204" pitchFamily="34" charset="0"/>
            </a:rPr>
            <a:t> - kadry i rotacja pracowników</a:t>
          </a:r>
          <a:endParaRPr lang="pl-PL" sz="2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76200</xdr:colOff>
      <xdr:row>8</xdr:row>
      <xdr:rowOff>133350</xdr:rowOff>
    </xdr:from>
    <xdr:to>
      <xdr:col>21</xdr:col>
      <xdr:colOff>234600</xdr:colOff>
      <xdr:row>27</xdr:row>
      <xdr:rowOff>113850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B229C1D-193F-4895-9F0F-3F6B04D5BB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85724</xdr:colOff>
      <xdr:row>4</xdr:row>
      <xdr:rowOff>114300</xdr:rowOff>
    </xdr:from>
    <xdr:to>
      <xdr:col>21</xdr:col>
      <xdr:colOff>244124</xdr:colOff>
      <xdr:row>8</xdr:row>
      <xdr:rowOff>72300</xdr:rowOff>
    </xdr:to>
    <xdr:grpSp>
      <xdr:nvGrpSpPr>
        <xdr:cNvPr id="40" name="Grupa 39">
          <a:extLst>
            <a:ext uri="{FF2B5EF4-FFF2-40B4-BE49-F238E27FC236}">
              <a16:creationId xmlns:a16="http://schemas.microsoft.com/office/drawing/2014/main" id="{8A2E0215-055B-8905-F4A1-4A56EC845DB2}"/>
            </a:ext>
          </a:extLst>
        </xdr:cNvPr>
        <xdr:cNvGrpSpPr/>
      </xdr:nvGrpSpPr>
      <xdr:grpSpPr>
        <a:xfrm>
          <a:off x="85724" y="876300"/>
          <a:ext cx="12960000" cy="720000"/>
          <a:chOff x="95250" y="876300"/>
          <a:chExt cx="13392225" cy="738187"/>
        </a:xfrm>
      </xdr:grpSpPr>
      <xdr:grpSp>
        <xdr:nvGrpSpPr>
          <xdr:cNvPr id="19" name="Grupa 18">
            <a:extLst>
              <a:ext uri="{FF2B5EF4-FFF2-40B4-BE49-F238E27FC236}">
                <a16:creationId xmlns:a16="http://schemas.microsoft.com/office/drawing/2014/main" id="{A85BA6AE-F1CA-2D12-651B-4875B058FC45}"/>
              </a:ext>
            </a:extLst>
          </xdr:cNvPr>
          <xdr:cNvGrpSpPr/>
        </xdr:nvGrpSpPr>
        <xdr:grpSpPr>
          <a:xfrm>
            <a:off x="95250" y="880847"/>
            <a:ext cx="2448000" cy="720000"/>
            <a:chOff x="76200" y="913537"/>
            <a:chExt cx="2448000" cy="720000"/>
          </a:xfrm>
        </xdr:grpSpPr>
        <xdr:sp macro="" textlink="">
          <xdr:nvSpPr>
            <xdr:cNvPr id="5" name="Prostokąt: zaokrąglone rogi 4">
              <a:extLst>
                <a:ext uri="{FF2B5EF4-FFF2-40B4-BE49-F238E27FC236}">
                  <a16:creationId xmlns:a16="http://schemas.microsoft.com/office/drawing/2014/main" id="{E745A409-A652-32EC-A812-00E80F58F0BD}"/>
                </a:ext>
              </a:extLst>
            </xdr:cNvPr>
            <xdr:cNvSpPr/>
          </xdr:nvSpPr>
          <xdr:spPr>
            <a:xfrm>
              <a:off x="76200" y="913537"/>
              <a:ext cx="2448000" cy="720000"/>
            </a:xfrm>
            <a:prstGeom prst="roundRect">
              <a:avLst/>
            </a:prstGeom>
            <a:solidFill>
              <a:schemeClr val="accent6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lvl="0" algn="ctr"/>
              <a:endParaRPr lang="pl-PL" sz="1400" b="0" i="0" u="none" strike="noStrike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grpSp>
          <xdr:nvGrpSpPr>
            <xdr:cNvPr id="18" name="Grupa 17">
              <a:extLst>
                <a:ext uri="{FF2B5EF4-FFF2-40B4-BE49-F238E27FC236}">
                  <a16:creationId xmlns:a16="http://schemas.microsoft.com/office/drawing/2014/main" id="{52E91167-B615-39E3-E62D-06631B6090A3}"/>
                </a:ext>
              </a:extLst>
            </xdr:cNvPr>
            <xdr:cNvGrpSpPr/>
          </xdr:nvGrpSpPr>
          <xdr:grpSpPr>
            <a:xfrm>
              <a:off x="76200" y="914400"/>
              <a:ext cx="2448000" cy="712425"/>
              <a:chOff x="76200" y="914400"/>
              <a:chExt cx="2448000" cy="712425"/>
            </a:xfrm>
          </xdr:grpSpPr>
          <xdr:sp macro="" textlink="_!C2">
            <xdr:nvSpPr>
              <xdr:cNvPr id="14" name="pole tekstowe 13">
                <a:extLst>
                  <a:ext uri="{FF2B5EF4-FFF2-40B4-BE49-F238E27FC236}">
                    <a16:creationId xmlns:a16="http://schemas.microsoft.com/office/drawing/2014/main" id="{51EE0CEB-F984-76AD-9DA4-D573272FC792}"/>
                  </a:ext>
                </a:extLst>
              </xdr:cNvPr>
              <xdr:cNvSpPr txBox="1"/>
            </xdr:nvSpPr>
            <xdr:spPr>
              <a:xfrm>
                <a:off x="76200" y="1266825"/>
                <a:ext cx="2448000" cy="3600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A5B7079F-EB94-4501-9CDF-A9D1A414E6F7}" type="TxLink">
                  <a:rPr lang="en-US" sz="1600" b="1" i="0" u="none" strike="noStrike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pPr algn="ctr"/>
                  <a:t>119</a:t>
                </a:fld>
                <a:endParaRPr lang="pl-PL" sz="1600" b="1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15" name="pole tekstowe 14">
                <a:extLst>
                  <a:ext uri="{FF2B5EF4-FFF2-40B4-BE49-F238E27FC236}">
                    <a16:creationId xmlns:a16="http://schemas.microsoft.com/office/drawing/2014/main" id="{29FAD499-2CD5-484D-841F-DE68746CCFE5}"/>
                  </a:ext>
                </a:extLst>
              </xdr:cNvPr>
              <xdr:cNvSpPr txBox="1"/>
            </xdr:nvSpPr>
            <xdr:spPr>
              <a:xfrm>
                <a:off x="76200" y="914400"/>
                <a:ext cx="2448000" cy="3600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l-PL" sz="1600" b="0" i="0" u="none" strike="noStrike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Zatrudnieni</a:t>
                </a:r>
                <a:r>
                  <a:rPr lang="pl-PL" sz="1600" b="0" i="0" u="none" strike="noStrike" baseline="0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pl-PL" sz="1400" b="0" i="0" u="none" strike="noStrike" baseline="0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pracownicy</a:t>
                </a:r>
                <a:endParaRPr lang="en-US" sz="1600" b="0" i="0" u="none" strike="noStrike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xdr:grpSp>
      </xdr:grpSp>
      <xdr:grpSp>
        <xdr:nvGrpSpPr>
          <xdr:cNvPr id="20" name="Grupa 19">
            <a:extLst>
              <a:ext uri="{FF2B5EF4-FFF2-40B4-BE49-F238E27FC236}">
                <a16:creationId xmlns:a16="http://schemas.microsoft.com/office/drawing/2014/main" id="{C86C8307-8C3D-48EC-A52B-2CA41C756651}"/>
              </a:ext>
            </a:extLst>
          </xdr:cNvPr>
          <xdr:cNvGrpSpPr/>
        </xdr:nvGrpSpPr>
        <xdr:grpSpPr>
          <a:xfrm>
            <a:off x="2831306" y="894487"/>
            <a:ext cx="2448000" cy="720000"/>
            <a:chOff x="76200" y="913537"/>
            <a:chExt cx="2448000" cy="720000"/>
          </a:xfrm>
        </xdr:grpSpPr>
        <xdr:sp macro="" textlink="">
          <xdr:nvSpPr>
            <xdr:cNvPr id="21" name="Prostokąt: zaokrąglone rogi 20">
              <a:extLst>
                <a:ext uri="{FF2B5EF4-FFF2-40B4-BE49-F238E27FC236}">
                  <a16:creationId xmlns:a16="http://schemas.microsoft.com/office/drawing/2014/main" id="{F95471BF-D119-9FC3-C4DA-3FD61EEE065C}"/>
                </a:ext>
              </a:extLst>
            </xdr:cNvPr>
            <xdr:cNvSpPr/>
          </xdr:nvSpPr>
          <xdr:spPr>
            <a:xfrm>
              <a:off x="76200" y="913537"/>
              <a:ext cx="2448000" cy="720000"/>
            </a:xfrm>
            <a:prstGeom prst="roundRect">
              <a:avLst/>
            </a:prstGeom>
            <a:solidFill>
              <a:schemeClr val="accent6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lvl="0" algn="ctr"/>
              <a:endParaRPr lang="pl-PL" sz="1400" b="0" i="0" u="none" strike="noStrike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grpSp>
          <xdr:nvGrpSpPr>
            <xdr:cNvPr id="22" name="Grupa 21">
              <a:extLst>
                <a:ext uri="{FF2B5EF4-FFF2-40B4-BE49-F238E27FC236}">
                  <a16:creationId xmlns:a16="http://schemas.microsoft.com/office/drawing/2014/main" id="{BA8C5CE2-0647-14C9-8AA4-DA7992F7252A}"/>
                </a:ext>
              </a:extLst>
            </xdr:cNvPr>
            <xdr:cNvGrpSpPr/>
          </xdr:nvGrpSpPr>
          <xdr:grpSpPr>
            <a:xfrm>
              <a:off x="76200" y="914400"/>
              <a:ext cx="2448000" cy="712425"/>
              <a:chOff x="76200" y="914400"/>
              <a:chExt cx="2448000" cy="712425"/>
            </a:xfrm>
          </xdr:grpSpPr>
          <xdr:sp macro="" textlink="_!D2">
            <xdr:nvSpPr>
              <xdr:cNvPr id="23" name="pole tekstowe 22">
                <a:extLst>
                  <a:ext uri="{FF2B5EF4-FFF2-40B4-BE49-F238E27FC236}">
                    <a16:creationId xmlns:a16="http://schemas.microsoft.com/office/drawing/2014/main" id="{9FDF08B2-D514-A57D-B583-F57E59543357}"/>
                  </a:ext>
                </a:extLst>
              </xdr:cNvPr>
              <xdr:cNvSpPr txBox="1"/>
            </xdr:nvSpPr>
            <xdr:spPr>
              <a:xfrm>
                <a:off x="76200" y="1266825"/>
                <a:ext cx="2448000" cy="3600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8CD3EFE6-5401-4A73-A8E0-A8C37B3C4EB8}" type="TxLink">
                  <a:rPr lang="en-US" sz="1800" b="1" i="0" u="none" strike="noStrike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pPr algn="ctr"/>
                  <a:t>39%</a:t>
                </a:fld>
                <a:endParaRPr lang="pl-PL" sz="2400" b="1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24" name="pole tekstowe 23">
                <a:extLst>
                  <a:ext uri="{FF2B5EF4-FFF2-40B4-BE49-F238E27FC236}">
                    <a16:creationId xmlns:a16="http://schemas.microsoft.com/office/drawing/2014/main" id="{EBC6A250-B345-E734-4B01-E0E1DD616CA2}"/>
                  </a:ext>
                </a:extLst>
              </xdr:cNvPr>
              <xdr:cNvSpPr txBox="1"/>
            </xdr:nvSpPr>
            <xdr:spPr>
              <a:xfrm>
                <a:off x="76200" y="914400"/>
                <a:ext cx="2448000" cy="3600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l-PL" sz="1600" b="0" i="0" u="none" strike="noStrike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Wskaźnik rotacji</a:t>
                </a:r>
                <a:endParaRPr lang="en-US" sz="1600" b="0" i="0" u="none" strike="noStrike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xdr:grpSp>
      </xdr:grpSp>
      <xdr:grpSp>
        <xdr:nvGrpSpPr>
          <xdr:cNvPr id="25" name="Grupa 24">
            <a:extLst>
              <a:ext uri="{FF2B5EF4-FFF2-40B4-BE49-F238E27FC236}">
                <a16:creationId xmlns:a16="http://schemas.microsoft.com/office/drawing/2014/main" id="{8379BDC3-8F68-4753-B529-D523B1C650B2}"/>
              </a:ext>
            </a:extLst>
          </xdr:cNvPr>
          <xdr:cNvGrpSpPr/>
        </xdr:nvGrpSpPr>
        <xdr:grpSpPr>
          <a:xfrm>
            <a:off x="5567362" y="889941"/>
            <a:ext cx="2448000" cy="720000"/>
            <a:chOff x="76200" y="913537"/>
            <a:chExt cx="2448000" cy="720000"/>
          </a:xfrm>
        </xdr:grpSpPr>
        <xdr:sp macro="" textlink="">
          <xdr:nvSpPr>
            <xdr:cNvPr id="26" name="Prostokąt: zaokrąglone rogi 25">
              <a:extLst>
                <a:ext uri="{FF2B5EF4-FFF2-40B4-BE49-F238E27FC236}">
                  <a16:creationId xmlns:a16="http://schemas.microsoft.com/office/drawing/2014/main" id="{72B36E3A-FE1C-C07D-CE45-D1A07312FF88}"/>
                </a:ext>
              </a:extLst>
            </xdr:cNvPr>
            <xdr:cNvSpPr/>
          </xdr:nvSpPr>
          <xdr:spPr>
            <a:xfrm>
              <a:off x="76200" y="913537"/>
              <a:ext cx="2448000" cy="720000"/>
            </a:xfrm>
            <a:prstGeom prst="roundRect">
              <a:avLst/>
            </a:prstGeom>
            <a:solidFill>
              <a:schemeClr val="accent6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lvl="0" algn="ctr"/>
              <a:endParaRPr lang="pl-PL" sz="1400" b="0" i="0" u="none" strike="noStrike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grpSp>
          <xdr:nvGrpSpPr>
            <xdr:cNvPr id="27" name="Grupa 26">
              <a:extLst>
                <a:ext uri="{FF2B5EF4-FFF2-40B4-BE49-F238E27FC236}">
                  <a16:creationId xmlns:a16="http://schemas.microsoft.com/office/drawing/2014/main" id="{C23CB133-E36E-3944-B0E3-BFCCA238CF55}"/>
                </a:ext>
              </a:extLst>
            </xdr:cNvPr>
            <xdr:cNvGrpSpPr/>
          </xdr:nvGrpSpPr>
          <xdr:grpSpPr>
            <a:xfrm>
              <a:off x="76200" y="914400"/>
              <a:ext cx="2448000" cy="712425"/>
              <a:chOff x="76200" y="914400"/>
              <a:chExt cx="2448000" cy="712425"/>
            </a:xfrm>
          </xdr:grpSpPr>
          <xdr:sp macro="" textlink="_!E2">
            <xdr:nvSpPr>
              <xdr:cNvPr id="28" name="pole tekstowe 27">
                <a:extLst>
                  <a:ext uri="{FF2B5EF4-FFF2-40B4-BE49-F238E27FC236}">
                    <a16:creationId xmlns:a16="http://schemas.microsoft.com/office/drawing/2014/main" id="{DA017DD8-F410-D8F6-E9DC-A4DB19AC0D56}"/>
                  </a:ext>
                </a:extLst>
              </xdr:cNvPr>
              <xdr:cNvSpPr txBox="1"/>
            </xdr:nvSpPr>
            <xdr:spPr>
              <a:xfrm>
                <a:off x="76200" y="1266825"/>
                <a:ext cx="2448000" cy="3600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9BE5FEB7-8643-4984-B232-A33E65783DBA}" type="TxLink">
                  <a:rPr lang="en-US" sz="1800" b="1" i="0" u="none" strike="noStrike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pPr algn="ctr"/>
                  <a:t>4,4</a:t>
                </a:fld>
                <a:endParaRPr lang="pl-PL" sz="3600" b="1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29" name="pole tekstowe 28">
                <a:extLst>
                  <a:ext uri="{FF2B5EF4-FFF2-40B4-BE49-F238E27FC236}">
                    <a16:creationId xmlns:a16="http://schemas.microsoft.com/office/drawing/2014/main" id="{96F8AFA4-56A0-E16D-1257-B28F23360307}"/>
                  </a:ext>
                </a:extLst>
              </xdr:cNvPr>
              <xdr:cNvSpPr txBox="1"/>
            </xdr:nvSpPr>
            <xdr:spPr>
              <a:xfrm>
                <a:off x="76200" y="914400"/>
                <a:ext cx="2448000" cy="3600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l-PL" sz="1600" b="0" i="0" u="none" strike="noStrike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Średni staż</a:t>
                </a:r>
                <a:endParaRPr lang="en-US" sz="1600" b="0" i="0" u="none" strike="noStrike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xdr:grpSp>
      </xdr:grpSp>
      <xdr:grpSp>
        <xdr:nvGrpSpPr>
          <xdr:cNvPr id="30" name="Grupa 29">
            <a:extLst>
              <a:ext uri="{FF2B5EF4-FFF2-40B4-BE49-F238E27FC236}">
                <a16:creationId xmlns:a16="http://schemas.microsoft.com/office/drawing/2014/main" id="{6E16E307-70F0-461D-A610-1CEBD500EEB6}"/>
              </a:ext>
            </a:extLst>
          </xdr:cNvPr>
          <xdr:cNvGrpSpPr/>
        </xdr:nvGrpSpPr>
        <xdr:grpSpPr>
          <a:xfrm>
            <a:off x="8303418" y="876300"/>
            <a:ext cx="2448000" cy="720000"/>
            <a:chOff x="76200" y="913537"/>
            <a:chExt cx="2448000" cy="720000"/>
          </a:xfrm>
        </xdr:grpSpPr>
        <xdr:sp macro="" textlink="">
          <xdr:nvSpPr>
            <xdr:cNvPr id="31" name="Prostokąt: zaokrąglone rogi 30">
              <a:extLst>
                <a:ext uri="{FF2B5EF4-FFF2-40B4-BE49-F238E27FC236}">
                  <a16:creationId xmlns:a16="http://schemas.microsoft.com/office/drawing/2014/main" id="{B5F6FA9A-B931-9865-4147-C9E5DF4390A8}"/>
                </a:ext>
              </a:extLst>
            </xdr:cNvPr>
            <xdr:cNvSpPr/>
          </xdr:nvSpPr>
          <xdr:spPr>
            <a:xfrm>
              <a:off x="76200" y="913537"/>
              <a:ext cx="2448000" cy="720000"/>
            </a:xfrm>
            <a:prstGeom prst="roundRect">
              <a:avLst/>
            </a:prstGeom>
            <a:solidFill>
              <a:schemeClr val="accent6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lvl="0" algn="ctr"/>
              <a:endParaRPr lang="pl-PL" sz="1400" b="0" i="0" u="none" strike="noStrike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grpSp>
          <xdr:nvGrpSpPr>
            <xdr:cNvPr id="32" name="Grupa 31">
              <a:extLst>
                <a:ext uri="{FF2B5EF4-FFF2-40B4-BE49-F238E27FC236}">
                  <a16:creationId xmlns:a16="http://schemas.microsoft.com/office/drawing/2014/main" id="{AFDE7191-C1B8-6FDE-23EC-076C0AB7ED05}"/>
                </a:ext>
              </a:extLst>
            </xdr:cNvPr>
            <xdr:cNvGrpSpPr/>
          </xdr:nvGrpSpPr>
          <xdr:grpSpPr>
            <a:xfrm>
              <a:off x="76200" y="914400"/>
              <a:ext cx="2448000" cy="712425"/>
              <a:chOff x="76200" y="914400"/>
              <a:chExt cx="2448000" cy="712425"/>
            </a:xfrm>
          </xdr:grpSpPr>
          <xdr:sp macro="" textlink="_!F2">
            <xdr:nvSpPr>
              <xdr:cNvPr id="33" name="pole tekstowe 32">
                <a:extLst>
                  <a:ext uri="{FF2B5EF4-FFF2-40B4-BE49-F238E27FC236}">
                    <a16:creationId xmlns:a16="http://schemas.microsoft.com/office/drawing/2014/main" id="{AA19BA0A-E27E-9F65-2A62-6C71E752BAE7}"/>
                  </a:ext>
                </a:extLst>
              </xdr:cNvPr>
              <xdr:cNvSpPr txBox="1"/>
            </xdr:nvSpPr>
            <xdr:spPr>
              <a:xfrm>
                <a:off x="76200" y="1266825"/>
                <a:ext cx="2448000" cy="3600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2628383B-8D30-4F7E-A8F9-C1E3ABC2345B}" type="TxLink">
                  <a:rPr lang="en-US" sz="1800" b="1" i="0" u="none" strike="noStrike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pPr algn="ctr"/>
                  <a:t> 9 332 zł </a:t>
                </a:fld>
                <a:endParaRPr lang="pl-PL" sz="4800" b="1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34" name="pole tekstowe 33">
                <a:extLst>
                  <a:ext uri="{FF2B5EF4-FFF2-40B4-BE49-F238E27FC236}">
                    <a16:creationId xmlns:a16="http://schemas.microsoft.com/office/drawing/2014/main" id="{D9813EA3-D630-3283-6219-57E2A8F55FB7}"/>
                  </a:ext>
                </a:extLst>
              </xdr:cNvPr>
              <xdr:cNvSpPr txBox="1"/>
            </xdr:nvSpPr>
            <xdr:spPr>
              <a:xfrm>
                <a:off x="76200" y="914400"/>
                <a:ext cx="2448000" cy="3600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l-PL" sz="1600" b="0" i="0" u="none" strike="noStrike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Średnie wynagrodzenie</a:t>
                </a:r>
                <a:endParaRPr lang="en-US" sz="1600" b="0" i="0" u="none" strike="noStrike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xdr:grpSp>
      </xdr:grpSp>
      <xdr:grpSp>
        <xdr:nvGrpSpPr>
          <xdr:cNvPr id="35" name="Grupa 34">
            <a:extLst>
              <a:ext uri="{FF2B5EF4-FFF2-40B4-BE49-F238E27FC236}">
                <a16:creationId xmlns:a16="http://schemas.microsoft.com/office/drawing/2014/main" id="{351365FC-9667-420E-87B7-472C7234AD0A}"/>
              </a:ext>
            </a:extLst>
          </xdr:cNvPr>
          <xdr:cNvGrpSpPr/>
        </xdr:nvGrpSpPr>
        <xdr:grpSpPr>
          <a:xfrm>
            <a:off x="11039475" y="885394"/>
            <a:ext cx="2448000" cy="720000"/>
            <a:chOff x="76200" y="913537"/>
            <a:chExt cx="2448000" cy="720000"/>
          </a:xfrm>
        </xdr:grpSpPr>
        <xdr:sp macro="" textlink="">
          <xdr:nvSpPr>
            <xdr:cNvPr id="36" name="Prostokąt: zaokrąglone rogi 35">
              <a:extLst>
                <a:ext uri="{FF2B5EF4-FFF2-40B4-BE49-F238E27FC236}">
                  <a16:creationId xmlns:a16="http://schemas.microsoft.com/office/drawing/2014/main" id="{C8CD47D3-518D-71CC-0C5E-AD318D98BF61}"/>
                </a:ext>
              </a:extLst>
            </xdr:cNvPr>
            <xdr:cNvSpPr/>
          </xdr:nvSpPr>
          <xdr:spPr>
            <a:xfrm>
              <a:off x="76200" y="913537"/>
              <a:ext cx="2448000" cy="720000"/>
            </a:xfrm>
            <a:prstGeom prst="roundRect">
              <a:avLst/>
            </a:prstGeom>
            <a:solidFill>
              <a:schemeClr val="accent6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lvl="0" algn="ctr"/>
              <a:endParaRPr lang="pl-PL" sz="1400" b="0" i="0" u="none" strike="noStrike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grpSp>
          <xdr:nvGrpSpPr>
            <xdr:cNvPr id="37" name="Grupa 36">
              <a:extLst>
                <a:ext uri="{FF2B5EF4-FFF2-40B4-BE49-F238E27FC236}">
                  <a16:creationId xmlns:a16="http://schemas.microsoft.com/office/drawing/2014/main" id="{7F3F7057-E4BB-F75D-3C42-82E3D7BE5EB1}"/>
                </a:ext>
              </a:extLst>
            </xdr:cNvPr>
            <xdr:cNvGrpSpPr/>
          </xdr:nvGrpSpPr>
          <xdr:grpSpPr>
            <a:xfrm>
              <a:off x="76200" y="914400"/>
              <a:ext cx="2448000" cy="712425"/>
              <a:chOff x="76200" y="914400"/>
              <a:chExt cx="2448000" cy="712425"/>
            </a:xfrm>
          </xdr:grpSpPr>
          <xdr:sp macro="" textlink="_!G2">
            <xdr:nvSpPr>
              <xdr:cNvPr id="38" name="pole tekstowe 37">
                <a:extLst>
                  <a:ext uri="{FF2B5EF4-FFF2-40B4-BE49-F238E27FC236}">
                    <a16:creationId xmlns:a16="http://schemas.microsoft.com/office/drawing/2014/main" id="{A2A6D0B9-1E00-A498-63D2-747F931ACF65}"/>
                  </a:ext>
                </a:extLst>
              </xdr:cNvPr>
              <xdr:cNvSpPr txBox="1"/>
            </xdr:nvSpPr>
            <xdr:spPr>
              <a:xfrm>
                <a:off x="76200" y="1266825"/>
                <a:ext cx="2448000" cy="3600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A252CB3D-76E2-4FF2-B4B4-619C0B466093}" type="TxLink">
                  <a:rPr lang="en-US" sz="1800" b="1" i="0" u="none" strike="noStrike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pPr algn="ctr"/>
                  <a:t>17</a:t>
                </a:fld>
                <a:endParaRPr lang="pl-PL" sz="6600" b="1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39" name="pole tekstowe 38">
                <a:extLst>
                  <a:ext uri="{FF2B5EF4-FFF2-40B4-BE49-F238E27FC236}">
                    <a16:creationId xmlns:a16="http://schemas.microsoft.com/office/drawing/2014/main" id="{CEB9D318-F6DC-AB86-AE03-97895F312970}"/>
                  </a:ext>
                </a:extLst>
              </xdr:cNvPr>
              <xdr:cNvSpPr txBox="1"/>
            </xdr:nvSpPr>
            <xdr:spPr>
              <a:xfrm>
                <a:off x="76200" y="914400"/>
                <a:ext cx="2448000" cy="3600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l-PL" sz="1600" b="0" i="0" u="none" strike="noStrike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Dni</a:t>
                </a:r>
                <a:r>
                  <a:rPr lang="pl-PL" sz="1600" b="0" i="0" u="none" strike="noStrike" baseline="0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absencji pracownika</a:t>
                </a:r>
                <a:endParaRPr lang="en-US" sz="1600" b="0" i="0" u="none" strike="noStrike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xdr:grpSp>
      </xdr:grpSp>
    </xdr:grpSp>
    <xdr:clientData/>
  </xdr:twoCellAnchor>
  <xdr:twoCellAnchor>
    <xdr:from>
      <xdr:col>0</xdr:col>
      <xdr:colOff>66675</xdr:colOff>
      <xdr:row>27</xdr:row>
      <xdr:rowOff>180975</xdr:rowOff>
    </xdr:from>
    <xdr:to>
      <xdr:col>10</xdr:col>
      <xdr:colOff>414675</xdr:colOff>
      <xdr:row>46</xdr:row>
      <xdr:rowOff>161475</xdr:rowOff>
    </xdr:to>
    <xdr:graphicFrame macro="">
      <xdr:nvGraphicFramePr>
        <xdr:cNvPr id="43" name="Wykres 42">
          <a:extLst>
            <a:ext uri="{FF2B5EF4-FFF2-40B4-BE49-F238E27FC236}">
              <a16:creationId xmlns:a16="http://schemas.microsoft.com/office/drawing/2014/main" id="{016A7655-9F25-4AE0-8B9C-BB91AB3CA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495299</xdr:colOff>
      <xdr:row>27</xdr:row>
      <xdr:rowOff>180975</xdr:rowOff>
    </xdr:from>
    <xdr:to>
      <xdr:col>21</xdr:col>
      <xdr:colOff>233699</xdr:colOff>
      <xdr:row>46</xdr:row>
      <xdr:rowOff>161475</xdr:rowOff>
    </xdr:to>
    <xdr:graphicFrame macro="">
      <xdr:nvGraphicFramePr>
        <xdr:cNvPr id="45" name="Wykres 44">
          <a:extLst>
            <a:ext uri="{FF2B5EF4-FFF2-40B4-BE49-F238E27FC236}">
              <a16:creationId xmlns:a16="http://schemas.microsoft.com/office/drawing/2014/main" id="{40EC642E-63E4-4183-9C94-53DB75AA9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66674</xdr:colOff>
      <xdr:row>47</xdr:row>
      <xdr:rowOff>38100</xdr:rowOff>
    </xdr:from>
    <xdr:to>
      <xdr:col>21</xdr:col>
      <xdr:colOff>225074</xdr:colOff>
      <xdr:row>75</xdr:row>
      <xdr:rowOff>104100</xdr:rowOff>
    </xdr:to>
    <xdr:graphicFrame macro="">
      <xdr:nvGraphicFramePr>
        <xdr:cNvPr id="46" name="Wykres 45">
          <a:extLst>
            <a:ext uri="{FF2B5EF4-FFF2-40B4-BE49-F238E27FC236}">
              <a16:creationId xmlns:a16="http://schemas.microsoft.com/office/drawing/2014/main" id="{CCDA4E17-A329-4FFE-B637-AA2E4EB91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323850</xdr:colOff>
      <xdr:row>0</xdr:row>
      <xdr:rowOff>76200</xdr:rowOff>
    </xdr:from>
    <xdr:to>
      <xdr:col>29</xdr:col>
      <xdr:colOff>2587</xdr:colOff>
      <xdr:row>40</xdr:row>
      <xdr:rowOff>157275</xdr:rowOff>
    </xdr:to>
    <xdr:grpSp>
      <xdr:nvGrpSpPr>
        <xdr:cNvPr id="65" name="Grupa 64">
          <a:extLst>
            <a:ext uri="{FF2B5EF4-FFF2-40B4-BE49-F238E27FC236}">
              <a16:creationId xmlns:a16="http://schemas.microsoft.com/office/drawing/2014/main" id="{660B0991-F228-226B-8682-95F40FDD6ED7}"/>
            </a:ext>
          </a:extLst>
        </xdr:cNvPr>
        <xdr:cNvGrpSpPr/>
      </xdr:nvGrpSpPr>
      <xdr:grpSpPr>
        <a:xfrm>
          <a:off x="13125450" y="76200"/>
          <a:ext cx="4555537" cy="7701075"/>
          <a:chOff x="13125450" y="76200"/>
          <a:chExt cx="4555537" cy="7701075"/>
        </a:xfrm>
      </xdr:grpSpPr>
      <xdr:grpSp>
        <xdr:nvGrpSpPr>
          <xdr:cNvPr id="57" name="Grupa 56">
            <a:extLst>
              <a:ext uri="{FF2B5EF4-FFF2-40B4-BE49-F238E27FC236}">
                <a16:creationId xmlns:a16="http://schemas.microsoft.com/office/drawing/2014/main" id="{6D3C755A-0AB0-3DD1-9827-E8197ED57AA9}"/>
              </a:ext>
            </a:extLst>
          </xdr:cNvPr>
          <xdr:cNvGrpSpPr/>
        </xdr:nvGrpSpPr>
        <xdr:grpSpPr>
          <a:xfrm>
            <a:off x="13125450" y="76200"/>
            <a:ext cx="2232000" cy="1339800"/>
            <a:chOff x="13211175" y="4543425"/>
            <a:chExt cx="2232000" cy="1339800"/>
          </a:xfrm>
        </xdr:grpSpPr>
        <xdr:sp macro="" textlink="">
          <xdr:nvSpPr>
            <xdr:cNvPr id="8" name="Prostokąt: zaokrąglone rogi 7">
              <a:extLst>
                <a:ext uri="{FF2B5EF4-FFF2-40B4-BE49-F238E27FC236}">
                  <a16:creationId xmlns:a16="http://schemas.microsoft.com/office/drawing/2014/main" id="{DA486769-C07D-E484-EA88-3A04E38D5FA5}"/>
                </a:ext>
              </a:extLst>
            </xdr:cNvPr>
            <xdr:cNvSpPr/>
          </xdr:nvSpPr>
          <xdr:spPr>
            <a:xfrm flipH="1">
              <a:off x="13211175" y="4551225"/>
              <a:ext cx="2232000" cy="1332000"/>
            </a:xfrm>
            <a:prstGeom prst="roundRect">
              <a:avLst>
                <a:gd name="adj" fmla="val 7407"/>
              </a:avLst>
            </a:prstGeom>
            <a:solidFill>
              <a:schemeClr val="accent3">
                <a:lumMod val="60000"/>
                <a:lumOff val="40000"/>
              </a:schemeClr>
            </a:solidFill>
          </xdr:spPr>
          <xdr:style>
            <a:lnRef idx="2">
              <a:schemeClr val="accent6">
                <a:shade val="15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l-PL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6" name="Rok 1">
                  <a:extLst>
                    <a:ext uri="{FF2B5EF4-FFF2-40B4-BE49-F238E27FC236}">
                      <a16:creationId xmlns:a16="http://schemas.microsoft.com/office/drawing/2014/main" id="{80CEE6A7-9CF7-47C8-94D5-0D08507EBD39}"/>
                    </a:ext>
                  </a:extLst>
                </xdr:cNvPr>
                <xdr:cNvGraphicFramePr>
                  <a:graphicFrameLocks noMove="1" noResize="1"/>
                </xdr:cNvGraphicFramePr>
              </xdr:nvGraphicFramePr>
              <xdr:xfrm>
                <a:off x="13234987" y="4829175"/>
                <a:ext cx="2160000" cy="1008000"/>
              </xdr:xfrm>
              <a:graphic>
                <a:graphicData uri="http://schemas.microsoft.com/office/drawing/2010/slicer">
                  <sle:slicer xmlns:sle="http://schemas.microsoft.com/office/drawing/2010/slicer" name="Rok 1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3149262" y="361950"/>
                  <a:ext cx="2160000" cy="1008000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l-PL" sz="1100"/>
    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    </a:r>
                </a:p>
              </xdr:txBody>
            </xdr:sp>
          </mc:Fallback>
        </mc:AlternateContent>
        <xdr:sp macro="" textlink="">
          <xdr:nvSpPr>
            <xdr:cNvPr id="9" name="pole tekstowe 8">
              <a:extLst>
                <a:ext uri="{FF2B5EF4-FFF2-40B4-BE49-F238E27FC236}">
                  <a16:creationId xmlns:a16="http://schemas.microsoft.com/office/drawing/2014/main" id="{F3ED71C2-FBE7-18BF-0DED-13633A4C3B15}"/>
                </a:ext>
              </a:extLst>
            </xdr:cNvPr>
            <xdr:cNvSpPr txBox="1"/>
          </xdr:nvSpPr>
          <xdr:spPr>
            <a:xfrm flipH="1">
              <a:off x="13244512" y="4543425"/>
              <a:ext cx="2160000" cy="360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l-PL" sz="1600" b="1">
                  <a:solidFill>
                    <a:schemeClr val="bg1"/>
                  </a:solidFill>
                </a:rPr>
                <a:t>Rok</a:t>
              </a:r>
            </a:p>
          </xdr:txBody>
        </xdr:sp>
      </xdr:grpSp>
      <xdr:grpSp>
        <xdr:nvGrpSpPr>
          <xdr:cNvPr id="63" name="Grupa 62">
            <a:extLst>
              <a:ext uri="{FF2B5EF4-FFF2-40B4-BE49-F238E27FC236}">
                <a16:creationId xmlns:a16="http://schemas.microsoft.com/office/drawing/2014/main" id="{DA214A67-7482-1DF4-633C-1CC1B70FF073}"/>
              </a:ext>
            </a:extLst>
          </xdr:cNvPr>
          <xdr:cNvGrpSpPr/>
        </xdr:nvGrpSpPr>
        <xdr:grpSpPr>
          <a:xfrm>
            <a:off x="15430500" y="87676"/>
            <a:ext cx="2250487" cy="3931573"/>
            <a:chOff x="15611475" y="659176"/>
            <a:chExt cx="2250487" cy="3931573"/>
          </a:xfrm>
        </xdr:grpSpPr>
        <xdr:sp macro="" textlink="">
          <xdr:nvSpPr>
            <xdr:cNvPr id="17" name="Prostokąt: zaokrąglone rogi 16">
              <a:extLst>
                <a:ext uri="{FF2B5EF4-FFF2-40B4-BE49-F238E27FC236}">
                  <a16:creationId xmlns:a16="http://schemas.microsoft.com/office/drawing/2014/main" id="{82003C8A-677A-504C-B0E0-2E3B88F09E5E}"/>
                </a:ext>
              </a:extLst>
            </xdr:cNvPr>
            <xdr:cNvSpPr/>
          </xdr:nvSpPr>
          <xdr:spPr>
            <a:xfrm flipH="1">
              <a:off x="15611475" y="666749"/>
              <a:ext cx="2232000" cy="3924000"/>
            </a:xfrm>
            <a:prstGeom prst="roundRect">
              <a:avLst>
                <a:gd name="adj" fmla="val 4455"/>
              </a:avLst>
            </a:prstGeom>
            <a:solidFill>
              <a:schemeClr val="accent3">
                <a:lumMod val="60000"/>
                <a:lumOff val="40000"/>
              </a:schemeClr>
            </a:solidFill>
          </xdr:spPr>
          <xdr:style>
            <a:lnRef idx="2">
              <a:schemeClr val="accent6">
                <a:shade val="15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l-PL" sz="1100"/>
            </a:p>
          </xdr:txBody>
        </xdr:sp>
        <xdr:sp macro="" textlink="">
          <xdr:nvSpPr>
            <xdr:cNvPr id="47" name="pole tekstowe 46">
              <a:extLst>
                <a:ext uri="{FF2B5EF4-FFF2-40B4-BE49-F238E27FC236}">
                  <a16:creationId xmlns:a16="http://schemas.microsoft.com/office/drawing/2014/main" id="{E38C2453-DB5D-6969-F9FD-D8854C650A26}"/>
                </a:ext>
              </a:extLst>
            </xdr:cNvPr>
            <xdr:cNvSpPr txBox="1"/>
          </xdr:nvSpPr>
          <xdr:spPr>
            <a:xfrm flipH="1">
              <a:off x="15701962" y="659176"/>
              <a:ext cx="2160000" cy="3599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l-PL" sz="1600" b="1">
                  <a:solidFill>
                    <a:schemeClr val="bg1"/>
                  </a:solidFill>
                </a:rPr>
                <a:t>Miesiąc</a:t>
              </a:r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12" name="Nazwa miesiąca 1">
                  <a:extLst>
                    <a:ext uri="{FF2B5EF4-FFF2-40B4-BE49-F238E27FC236}">
                      <a16:creationId xmlns:a16="http://schemas.microsoft.com/office/drawing/2014/main" id="{124074D7-112A-4120-A725-424E7B6BAE31}"/>
                    </a:ext>
                  </a:extLst>
                </xdr:cNvPr>
                <xdr:cNvGraphicFramePr>
                  <a:graphicFrameLocks noMove="1" noResize="1"/>
                </xdr:cNvGraphicFramePr>
              </xdr:nvGraphicFramePr>
              <xdr:xfrm>
                <a:off x="15644812" y="935401"/>
                <a:ext cx="2160000" cy="3600000"/>
              </xdr:xfrm>
              <a:graphic>
                <a:graphicData uri="http://schemas.microsoft.com/office/drawing/2010/slicer">
                  <sle:slicer xmlns:sle="http://schemas.microsoft.com/office/drawing/2010/slicer" name="Nazwa miesiąca 1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5463837" y="363901"/>
                  <a:ext cx="2160000" cy="3600000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l-PL" sz="1100"/>
    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    </a:r>
                </a:p>
              </xdr:txBody>
            </xdr:sp>
          </mc:Fallback>
        </mc:AlternateContent>
      </xdr:grpSp>
      <xdr:grpSp>
        <xdr:nvGrpSpPr>
          <xdr:cNvPr id="58" name="Grupa 57">
            <a:extLst>
              <a:ext uri="{FF2B5EF4-FFF2-40B4-BE49-F238E27FC236}">
                <a16:creationId xmlns:a16="http://schemas.microsoft.com/office/drawing/2014/main" id="{A25C36A4-D673-4AF2-A22C-37879A853043}"/>
              </a:ext>
            </a:extLst>
          </xdr:cNvPr>
          <xdr:cNvGrpSpPr/>
        </xdr:nvGrpSpPr>
        <xdr:grpSpPr>
          <a:xfrm>
            <a:off x="13134975" y="4105275"/>
            <a:ext cx="4536000" cy="3672000"/>
            <a:chOff x="13696949" y="9191624"/>
            <a:chExt cx="4536000" cy="3672000"/>
          </a:xfrm>
        </xdr:grpSpPr>
        <xdr:sp macro="" textlink="">
          <xdr:nvSpPr>
            <xdr:cNvPr id="59" name="Prostokąt: zaokrąglone rogi 58">
              <a:extLst>
                <a:ext uri="{FF2B5EF4-FFF2-40B4-BE49-F238E27FC236}">
                  <a16:creationId xmlns:a16="http://schemas.microsoft.com/office/drawing/2014/main" id="{80FCF286-EFDC-6006-AE6B-FB03F899F466}"/>
                </a:ext>
              </a:extLst>
            </xdr:cNvPr>
            <xdr:cNvSpPr/>
          </xdr:nvSpPr>
          <xdr:spPr>
            <a:xfrm flipH="1">
              <a:off x="13696949" y="9191624"/>
              <a:ext cx="4536000" cy="3672000"/>
            </a:xfrm>
            <a:prstGeom prst="roundRect">
              <a:avLst>
                <a:gd name="adj" fmla="val 4529"/>
              </a:avLst>
            </a:prstGeom>
            <a:solidFill>
              <a:schemeClr val="accent3">
                <a:lumMod val="60000"/>
                <a:lumOff val="40000"/>
              </a:schemeClr>
            </a:solidFill>
          </xdr:spPr>
          <xdr:style>
            <a:lnRef idx="2">
              <a:schemeClr val="accent6">
                <a:shade val="15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l-PL" sz="1100"/>
            </a:p>
          </xdr:txBody>
        </xdr:sp>
        <xdr:sp macro="" textlink="">
          <xdr:nvSpPr>
            <xdr:cNvPr id="60" name="pole tekstowe 59">
              <a:extLst>
                <a:ext uri="{FF2B5EF4-FFF2-40B4-BE49-F238E27FC236}">
                  <a16:creationId xmlns:a16="http://schemas.microsoft.com/office/drawing/2014/main" id="{82C074AC-B4E5-35A2-3E6E-FCF73AD9C5CA}"/>
                </a:ext>
              </a:extLst>
            </xdr:cNvPr>
            <xdr:cNvSpPr txBox="1"/>
          </xdr:nvSpPr>
          <xdr:spPr>
            <a:xfrm flipH="1">
              <a:off x="14854237" y="9212626"/>
              <a:ext cx="2160000" cy="3599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l-PL" sz="1600" b="1">
                  <a:solidFill>
                    <a:schemeClr val="bg1"/>
                  </a:solidFill>
                </a:rPr>
                <a:t>Stanowisko</a:t>
              </a:r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61" name="Stanowisko 2">
                  <a:extLst>
                    <a:ext uri="{FF2B5EF4-FFF2-40B4-BE49-F238E27FC236}">
                      <a16:creationId xmlns:a16="http://schemas.microsoft.com/office/drawing/2014/main" id="{78A4B119-97A2-72BE-6FA7-72ABB6A12100}"/>
                    </a:ext>
                  </a:extLst>
                </xdr:cNvPr>
                <xdr:cNvGraphicFramePr>
                  <a:graphicFrameLocks noMove="1" noResize="1"/>
                </xdr:cNvGraphicFramePr>
              </xdr:nvGraphicFramePr>
              <xdr:xfrm>
                <a:off x="13779600" y="9515475"/>
                <a:ext cx="4356000" cy="3312000"/>
              </xdr:xfrm>
              <a:graphic>
                <a:graphicData uri="http://schemas.microsoft.com/office/drawing/2010/slicer">
                  <sle:slicer xmlns:sle="http://schemas.microsoft.com/office/drawing/2010/slicer" name="Stanowisko 2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3217626" y="4429126"/>
                  <a:ext cx="4356000" cy="3312000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l-PL" sz="1100"/>
    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    </a:r>
                </a:p>
              </xdr:txBody>
            </xdr:sp>
          </mc:Fallback>
        </mc:AlternateContent>
      </xdr:grpSp>
      <xdr:grpSp>
        <xdr:nvGrpSpPr>
          <xdr:cNvPr id="64" name="Grupa 63">
            <a:extLst>
              <a:ext uri="{FF2B5EF4-FFF2-40B4-BE49-F238E27FC236}">
                <a16:creationId xmlns:a16="http://schemas.microsoft.com/office/drawing/2014/main" id="{F90AC253-CD0B-1EAE-EDB6-2DC74A8DA786}"/>
              </a:ext>
            </a:extLst>
          </xdr:cNvPr>
          <xdr:cNvGrpSpPr/>
        </xdr:nvGrpSpPr>
        <xdr:grpSpPr>
          <a:xfrm>
            <a:off x="13134974" y="1516426"/>
            <a:ext cx="2196000" cy="2491573"/>
            <a:chOff x="13677899" y="9126901"/>
            <a:chExt cx="2196000" cy="2491573"/>
          </a:xfrm>
        </xdr:grpSpPr>
        <xdr:sp macro="" textlink="">
          <xdr:nvSpPr>
            <xdr:cNvPr id="51" name="Prostokąt: zaokrąglone rogi 50">
              <a:extLst>
                <a:ext uri="{FF2B5EF4-FFF2-40B4-BE49-F238E27FC236}">
                  <a16:creationId xmlns:a16="http://schemas.microsoft.com/office/drawing/2014/main" id="{9EC5FD17-5A78-EF5E-6E7A-2F7C6C6171A3}"/>
                </a:ext>
              </a:extLst>
            </xdr:cNvPr>
            <xdr:cNvSpPr/>
          </xdr:nvSpPr>
          <xdr:spPr>
            <a:xfrm flipH="1">
              <a:off x="13677899" y="9134474"/>
              <a:ext cx="2196000" cy="2484000"/>
            </a:xfrm>
            <a:prstGeom prst="roundRect">
              <a:avLst>
                <a:gd name="adj" fmla="val 4529"/>
              </a:avLst>
            </a:prstGeom>
            <a:solidFill>
              <a:schemeClr val="accent3">
                <a:lumMod val="60000"/>
                <a:lumOff val="40000"/>
              </a:schemeClr>
            </a:solidFill>
          </xdr:spPr>
          <xdr:style>
            <a:lnRef idx="2">
              <a:schemeClr val="accent6">
                <a:shade val="15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l-PL" sz="1100"/>
            </a:p>
          </xdr:txBody>
        </xdr:sp>
        <xdr:sp macro="" textlink="">
          <xdr:nvSpPr>
            <xdr:cNvPr id="52" name="pole tekstowe 51">
              <a:extLst>
                <a:ext uri="{FF2B5EF4-FFF2-40B4-BE49-F238E27FC236}">
                  <a16:creationId xmlns:a16="http://schemas.microsoft.com/office/drawing/2014/main" id="{293B0825-24D5-3E13-B888-89C175197EC1}"/>
                </a:ext>
              </a:extLst>
            </xdr:cNvPr>
            <xdr:cNvSpPr txBox="1"/>
          </xdr:nvSpPr>
          <xdr:spPr>
            <a:xfrm flipH="1">
              <a:off x="13692187" y="9126901"/>
              <a:ext cx="2160000" cy="3599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l-PL" sz="1600" b="1">
                  <a:solidFill>
                    <a:schemeClr val="bg1"/>
                  </a:solidFill>
                </a:rPr>
                <a:t>Dział</a:t>
              </a:r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62" name="Nazwa_Dzialu 1">
                  <a:extLst>
                    <a:ext uri="{FF2B5EF4-FFF2-40B4-BE49-F238E27FC236}">
                      <a16:creationId xmlns:a16="http://schemas.microsoft.com/office/drawing/2014/main" id="{64DBAD7A-242F-4D5F-BDA0-BC14E016F8F5}"/>
                    </a:ext>
                  </a:extLst>
                </xdr:cNvPr>
                <xdr:cNvGraphicFramePr>
                  <a:graphicFrameLocks noMove="1" noResize="1"/>
                </xdr:cNvGraphicFramePr>
              </xdr:nvGraphicFramePr>
              <xdr:xfrm>
                <a:off x="13687425" y="9410700"/>
                <a:ext cx="2160000" cy="2160000"/>
              </xdr:xfrm>
              <a:graphic>
                <a:graphicData uri="http://schemas.microsoft.com/office/drawing/2010/slicer">
                  <sle:slicer xmlns:sle="http://schemas.microsoft.com/office/drawing/2010/slicer" name="Nazwa_Dzialu 1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3144500" y="1800225"/>
                  <a:ext cx="2160000" cy="2160000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l-PL" sz="1100"/>
    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    </a:r>
                </a:p>
              </xdr:txBody>
            </xdr:sp>
          </mc:Fallback>
        </mc:AlternateContent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1</xdr:rowOff>
    </xdr:from>
    <xdr:to>
      <xdr:col>4</xdr:col>
      <xdr:colOff>0</xdr:colOff>
      <xdr:row>2</xdr:row>
      <xdr:rowOff>1</xdr:rowOff>
    </xdr:to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06379A35-963A-FEDF-9624-915DE79F40E5}"/>
            </a:ext>
          </a:extLst>
        </xdr:cNvPr>
        <xdr:cNvSpPr txBox="1"/>
      </xdr:nvSpPr>
      <xdr:spPr>
        <a:xfrm>
          <a:off x="1" y="1"/>
          <a:ext cx="6524624" cy="381000"/>
        </a:xfrm>
        <a:prstGeom prst="rect">
          <a:avLst/>
        </a:prstGeom>
        <a:solidFill>
          <a:schemeClr val="accent6">
            <a:lumMod val="50000"/>
          </a:schemeClr>
        </a:solidFill>
        <a:ln/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pl-PL" sz="1400">
              <a:latin typeface="Arial" panose="020B0604020202020204" pitchFamily="34" charset="0"/>
              <a:cs typeface="Arial" panose="020B0604020202020204" pitchFamily="34" charset="0"/>
            </a:rPr>
            <a:t>Liczba zatrudnionych pracowników w czasie</a:t>
          </a:r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7</xdr:col>
      <xdr:colOff>0</xdr:colOff>
      <xdr:row>2</xdr:row>
      <xdr:rowOff>0</xdr:rowOff>
    </xdr:to>
    <xdr:sp macro="" textlink="">
      <xdr:nvSpPr>
        <xdr:cNvPr id="3" name="pole tekstowe 2">
          <a:extLst>
            <a:ext uri="{FF2B5EF4-FFF2-40B4-BE49-F238E27FC236}">
              <a16:creationId xmlns:a16="http://schemas.microsoft.com/office/drawing/2014/main" id="{870E837E-C162-4613-B3FD-B2B8820138FE}"/>
            </a:ext>
          </a:extLst>
        </xdr:cNvPr>
        <xdr:cNvSpPr txBox="1"/>
      </xdr:nvSpPr>
      <xdr:spPr>
        <a:xfrm>
          <a:off x="6772275" y="0"/>
          <a:ext cx="2600325" cy="381000"/>
        </a:xfrm>
        <a:prstGeom prst="rect">
          <a:avLst/>
        </a:prstGeom>
        <a:solidFill>
          <a:schemeClr val="accent6">
            <a:lumMod val="50000"/>
          </a:schemeClr>
        </a:solidFill>
        <a:ln/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pl-PL" sz="1400">
              <a:latin typeface="Arial" panose="020B0604020202020204" pitchFamily="34" charset="0"/>
              <a:cs typeface="Arial" panose="020B0604020202020204" pitchFamily="34" charset="0"/>
            </a:rPr>
            <a:t>Rotacja wg działu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10</xdr:col>
      <xdr:colOff>0</xdr:colOff>
      <xdr:row>2</xdr:row>
      <xdr:rowOff>0</xdr:rowOff>
    </xdr:to>
    <xdr:sp macro="" textlink="">
      <xdr:nvSpPr>
        <xdr:cNvPr id="4" name="pole tekstowe 3">
          <a:extLst>
            <a:ext uri="{FF2B5EF4-FFF2-40B4-BE49-F238E27FC236}">
              <a16:creationId xmlns:a16="http://schemas.microsoft.com/office/drawing/2014/main" id="{ECE41BD9-3988-4DB8-9F47-FD3634D5F041}"/>
            </a:ext>
          </a:extLst>
        </xdr:cNvPr>
        <xdr:cNvSpPr txBox="1"/>
      </xdr:nvSpPr>
      <xdr:spPr>
        <a:xfrm>
          <a:off x="12573000" y="0"/>
          <a:ext cx="3781425" cy="381000"/>
        </a:xfrm>
        <a:prstGeom prst="rect">
          <a:avLst/>
        </a:prstGeom>
        <a:solidFill>
          <a:schemeClr val="accent6">
            <a:lumMod val="50000"/>
          </a:schemeClr>
        </a:solidFill>
        <a:ln/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pl-PL" sz="1400">
              <a:latin typeface="Arial" panose="020B0604020202020204" pitchFamily="34" charset="0"/>
              <a:cs typeface="Arial" panose="020B0604020202020204" pitchFamily="34" charset="0"/>
            </a:rPr>
            <a:t>Wynagrodzenia wg działu i stanowiska</a:t>
          </a:r>
        </a:p>
      </xdr:txBody>
    </xdr:sp>
    <xdr:clientData/>
  </xdr:twoCellAnchor>
  <xdr:twoCellAnchor>
    <xdr:from>
      <xdr:col>11</xdr:col>
      <xdr:colOff>0</xdr:colOff>
      <xdr:row>0</xdr:row>
      <xdr:rowOff>0</xdr:rowOff>
    </xdr:from>
    <xdr:to>
      <xdr:col>20</xdr:col>
      <xdr:colOff>0</xdr:colOff>
      <xdr:row>2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F53B44F7-24C7-4374-A896-057CEA9E9EF7}"/>
            </a:ext>
          </a:extLst>
        </xdr:cNvPr>
        <xdr:cNvSpPr txBox="1"/>
      </xdr:nvSpPr>
      <xdr:spPr>
        <a:xfrm>
          <a:off x="16964025" y="0"/>
          <a:ext cx="6991350" cy="381000"/>
        </a:xfrm>
        <a:prstGeom prst="rect">
          <a:avLst/>
        </a:prstGeom>
        <a:solidFill>
          <a:schemeClr val="accent6">
            <a:lumMod val="50000"/>
          </a:schemeClr>
        </a:solidFill>
        <a:ln/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pl-PL" sz="1400">
              <a:latin typeface="Arial" panose="020B0604020202020204" pitchFamily="34" charset="0"/>
              <a:cs typeface="Arial" panose="020B0604020202020204" pitchFamily="34" charset="0"/>
            </a:rPr>
            <a:t>Absencje wg typu i działu</a:t>
          </a:r>
        </a:p>
      </xdr:txBody>
    </xdr:sp>
    <xdr:clientData/>
  </xdr:twoCellAnchor>
  <xdr:twoCellAnchor>
    <xdr:from>
      <xdr:col>21</xdr:col>
      <xdr:colOff>0</xdr:colOff>
      <xdr:row>0</xdr:row>
      <xdr:rowOff>0</xdr:rowOff>
    </xdr:from>
    <xdr:to>
      <xdr:col>26</xdr:col>
      <xdr:colOff>0</xdr:colOff>
      <xdr:row>2</xdr:row>
      <xdr:rowOff>0</xdr:rowOff>
    </xdr:to>
    <xdr:sp macro="" textlink="">
      <xdr:nvSpPr>
        <xdr:cNvPr id="7" name="pole tekstowe 6">
          <a:extLst>
            <a:ext uri="{FF2B5EF4-FFF2-40B4-BE49-F238E27FC236}">
              <a16:creationId xmlns:a16="http://schemas.microsoft.com/office/drawing/2014/main" id="{E363651A-C415-464F-97F7-D8D6EA383870}"/>
            </a:ext>
          </a:extLst>
        </xdr:cNvPr>
        <xdr:cNvSpPr txBox="1"/>
      </xdr:nvSpPr>
      <xdr:spPr>
        <a:xfrm>
          <a:off x="23479125" y="0"/>
          <a:ext cx="8001000" cy="381000"/>
        </a:xfrm>
        <a:prstGeom prst="rect">
          <a:avLst/>
        </a:prstGeom>
        <a:solidFill>
          <a:schemeClr val="accent6">
            <a:lumMod val="50000"/>
          </a:schemeClr>
        </a:solidFill>
        <a:ln/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pl-PL" sz="1400">
              <a:latin typeface="Arial" panose="020B0604020202020204" pitchFamily="34" charset="0"/>
              <a:cs typeface="Arial" panose="020B0604020202020204" pitchFamily="34" charset="0"/>
            </a:rPr>
            <a:t>Dane HR/kadry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chal" refreshedDate="46213.600828125003" backgroundQuery="1" createdVersion="8" refreshedVersion="8" minRefreshableVersion="3" recordCount="0" supportSubquery="1" supportAdvancedDrill="1" xr:uid="{4F2D1170-5F6B-41A6-BF31-0C6AF1829C11}">
  <cacheSource type="external" connectionId="1"/>
  <cacheFields count="4">
    <cacheField name="[Absencje].[Typ_absencji].[Typ_absencji]" caption="Typ_absencji" numFmtId="0" hierarchy="4" level="1">
      <sharedItems count="5">
        <s v="Chorobowe"/>
        <s v="Opieka nad dzieckiem"/>
        <s v="Urlop na żądanie"/>
        <s v="Urlop okolicznościowy"/>
        <s v="Urlop wypoczynkowy"/>
      </sharedItems>
    </cacheField>
    <cacheField name="[Działy].[Nazwa_Dzialu].[Nazwa_Dzialu]" caption="Nazwa_Dzialu" numFmtId="0" hierarchy="7" level="1">
      <sharedItems count="7">
        <s v="Finanse"/>
        <s v="HR"/>
        <s v="IT"/>
        <s v="Logistyka"/>
        <s v="Marketing"/>
        <s v="Obsługa Klienta"/>
        <s v="Sprzedaż"/>
      </sharedItems>
    </cacheField>
    <cacheField name="[Measures].[Dni_absencji]" caption="Dni_absencji" numFmtId="0" hierarchy="40" level="32767"/>
    <cacheField name="[Pracownicy].[Stanowisko].[Stanowisko]" caption="Stanowisko" numFmtId="0" hierarchy="22" level="1">
      <sharedItems containsSemiMixedTypes="0" containsNonDate="0" containsString="0"/>
    </cacheField>
  </cacheFields>
  <cacheHierarchies count="48">
    <cacheHierarchy uniqueName="[Absencje].[ID_Absencji]" caption="ID_Absencji" attribute="1" defaultMemberUniqueName="[Absencje].[ID_Absencji].[All]" allUniqueName="[Absencje].[ID_Absencji].[All]" dimensionUniqueName="[Absencje]" displayFolder="" count="0" memberValueDatatype="20" unbalanced="0"/>
    <cacheHierarchy uniqueName="[Absencje].[ID_Pracownika]" caption="ID_Pracownika" attribute="1" defaultMemberUniqueName="[Absencje].[ID_Pracownika].[All]" allUniqueName="[Absencje].[ID_Pracownika].[All]" dimensionUniqueName="[Absencje]" displayFolder="" count="0" memberValueDatatype="20" unbalanced="0"/>
    <cacheHierarchy uniqueName="[Absencje].[Data_od]" caption="Data_od" attribute="1" time="1" defaultMemberUniqueName="[Absencje].[Data_od].[All]" allUniqueName="[Absencje].[Data_od].[All]" dimensionUniqueName="[Absencje]" displayFolder="" count="0" memberValueDatatype="7" unbalanced="0"/>
    <cacheHierarchy uniqueName="[Absencje].[Data_do]" caption="Data_do" attribute="1" time="1" defaultMemberUniqueName="[Absencje].[Data_do].[All]" allUniqueName="[Absencje].[Data_do].[All]" dimensionUniqueName="[Absencje]" displayFolder="" count="0" memberValueDatatype="7" unbalanced="0"/>
    <cacheHierarchy uniqueName="[Absencje].[Typ_absencji]" caption="Typ_absencji" attribute="1" defaultMemberUniqueName="[Absencje].[Typ_absencji].[All]" allUniqueName="[Absencje].[Typ_absencji].[All]" dimensionUniqueName="[Absencje]" displayFolder="" count="2" memberValueDatatype="130" unbalanced="0">
      <fieldsUsage count="2">
        <fieldUsage x="-1"/>
        <fieldUsage x="0"/>
      </fieldsUsage>
    </cacheHierarchy>
    <cacheHierarchy uniqueName="[Absencje].[Liczba_dni]" caption="Liczba_dni" attribute="1" defaultMemberUniqueName="[Absencje].[Liczba_dni].[All]" allUniqueName="[Absencje].[Liczba_dni].[All]" dimensionUniqueName="[Absencje]" displayFolder="" count="0" memberValueDatatype="20" unbalanced="0"/>
    <cacheHierarchy uniqueName="[Działy].[ID_Dzialu]" caption="ID_Dzialu" attribute="1" defaultMemberUniqueName="[Działy].[ID_Dzialu].[All]" allUniqueName="[Działy].[ID_Dzialu].[All]" dimensionUniqueName="[Działy]" displayFolder="" count="0" memberValueDatatype="20" unbalanced="0"/>
    <cacheHierarchy uniqueName="[Działy].[Nazwa_Dzialu]" caption="Nazwa_Dzialu" attribute="1" defaultMemberUniqueName="[Działy].[Nazwa_Dzialu].[All]" allUniqueName="[Działy].[Nazwa_Dzialu].[All]" dimensionUniqueName="[Działy]" displayFolder="" count="2" memberValueDatatype="130" unbalanced="0">
      <fieldsUsage count="2">
        <fieldUsage x="-1"/>
        <fieldUsage x="1"/>
      </fieldsUsage>
    </cacheHierarchy>
    <cacheHierarchy uniqueName="[Działy].[Lokalizacja]" caption="Lokalizacja" attribute="1" defaultMemberUniqueName="[Działy].[Lokalizacja].[All]" allUniqueName="[Działy].[Lokalizacja].[All]" dimensionUniqueName="[Działy]" displayFolder="" count="0" memberValueDatatype="130" unbalanced="0"/>
    <cacheHierarchy uniqueName="[Kalendarz].[Data]" caption="Data" attribute="1" time="1" defaultMemberUniqueName="[Kalendarz].[Data].[All]" allUniqueName="[Kalendarz].[Data].[All]" dimensionUniqueName="[Kalendarz]" displayFolder="" count="0" memberValueDatatype="7" unbalanced="0"/>
    <cacheHierarchy uniqueName="[Kalendarz].[Rok]" caption="Rok" attribute="1" defaultMemberUniqueName="[Kalendarz].[Rok].[All]" allUniqueName="[Kalendarz].[Rok].[All]" dimensionUniqueName="[Kalendarz]" displayFolder="" count="2" memberValueDatatype="20" unbalanced="0"/>
    <cacheHierarchy uniqueName="[Kalendarz].[Nazwa miesiąca]" caption="Nazwa miesiąca" attribute="1" defaultMemberUniqueName="[Kalendarz].[Nazwa miesiąca].[All]" allUniqueName="[Kalendarz].[Nazwa miesiąca].[All]" dimensionUniqueName="[Kalendarz]" displayFolder="" count="2" memberValueDatatype="130" unbalanced="0"/>
    <cacheHierarchy uniqueName="[Kalendarz].[Miesiąc]" caption="Miesiąc" attribute="1" defaultMemberUniqueName="[Kalendarz].[Miesiąc].[All]" allUniqueName="[Kalendarz].[Miesiąc].[All]" dimensionUniqueName="[Kalendarz]" displayFolder="" count="0" memberValueDatatype="20" unbalanced="0"/>
    <cacheHierarchy uniqueName="[Kalendarz].[Kwartał]" caption="Kwartał" attribute="1" defaultMemberUniqueName="[Kalendarz].[Kwartał].[All]" allUniqueName="[Kalendarz].[Kwartał].[All]" dimensionUniqueName="[Kalendarz]" displayFolder="" count="0" memberValueDatatype="20" unbalanced="0"/>
    <cacheHierarchy uniqueName="[Kalendarz].[Dzień tygodnia]" caption="Dzień tygodnia" attribute="1" defaultMemberUniqueName="[Kalendarz].[Dzień tygodnia].[All]" allUniqueName="[Kalendarz].[Dzień tygodnia].[All]" dimensionUniqueName="[Kalendarz]" displayFolder="" count="0" memberValueDatatype="20" unbalanced="0"/>
    <cacheHierarchy uniqueName="[Kalendarz].[Nazwa dnia]" caption="Nazwa dnia" attribute="1" defaultMemberUniqueName="[Kalendarz].[Nazwa dnia].[All]" allUniqueName="[Kalendarz].[Nazwa dnia].[All]" dimensionUniqueName="[Kalendarz]" displayFolder="" count="0" memberValueDatatype="130" unbalanced="0"/>
    <cacheHierarchy uniqueName="[Pracownicy].[ID_Pracownika]" caption="ID_Pracownika" attribute="1" defaultMemberUniqueName="[Pracownicy].[ID_Pracownika].[All]" allUniqueName="[Pracownicy].[ID_Pracownika].[All]" dimensionUniqueName="[Pracownicy]" displayFolder="" count="0" memberValueDatatype="20" unbalanced="0"/>
    <cacheHierarchy uniqueName="[Pracownicy].[Imie_Nazwisko]" caption="Imie_Nazwisko" attribute="1" defaultMemberUniqueName="[Pracownicy].[Imie_Nazwisko].[All]" allUniqueName="[Pracownicy].[Imie_Nazwisko].[All]" dimensionUniqueName="[Pracownicy]" displayFolder="" count="0" memberValueDatatype="130" unbalanced="0"/>
    <cacheHierarchy uniqueName="[Pracownicy].[Plec]" caption="Plec" attribute="1" defaultMemberUniqueName="[Pracownicy].[Plec].[All]" allUniqueName="[Pracownicy].[Plec].[All]" dimensionUniqueName="[Pracownicy]" displayFolder="" count="0" memberValueDatatype="130" unbalanced="0"/>
    <cacheHierarchy uniqueName="[Pracownicy].[Data_urodzenia]" caption="Data_urodzenia" attribute="1" time="1" defaultMemberUniqueName="[Pracownicy].[Data_urodzenia].[All]" allUniqueName="[Pracownicy].[Data_urodzenia].[All]" dimensionUniqueName="[Pracownicy]" displayFolder="" count="0" memberValueDatatype="7" unbalanced="0"/>
    <cacheHierarchy uniqueName="[Pracownicy].[Data_zatrudnienia]" caption="Data_zatrudnienia" attribute="1" time="1" defaultMemberUniqueName="[Pracownicy].[Data_zatrudnienia].[All]" allUniqueName="[Pracownicy].[Data_zatrudnienia].[All]" dimensionUniqueName="[Pracownicy]" displayFolder="" count="0" memberValueDatatype="7" unbalanced="0"/>
    <cacheHierarchy uniqueName="[Pracownicy].[Data_zwolnienia]" caption="Data_zwolnienia" attribute="1" time="1" defaultMemberUniqueName="[Pracownicy].[Data_zwolnienia].[All]" allUniqueName="[Pracownicy].[Data_zwolnienia].[All]" dimensionUniqueName="[Pracownicy]" displayFolder="" count="0" memberValueDatatype="7" unbalanced="0"/>
    <cacheHierarchy uniqueName="[Pracownicy].[Stanowisko]" caption="Stanowisko" attribute="1" defaultMemberUniqueName="[Pracownicy].[Stanowisko].[All]" allUniqueName="[Pracownicy].[Stanowisko].[All]" dimensionUniqueName="[Pracownicy]" displayFolder="" count="2" memberValueDatatype="130" unbalanced="0">
      <fieldsUsage count="2">
        <fieldUsage x="-1"/>
        <fieldUsage x="3"/>
      </fieldsUsage>
    </cacheHierarchy>
    <cacheHierarchy uniqueName="[Pracownicy].[Tryb_pracy]" caption="Tryb_pracy" attribute="1" defaultMemberUniqueName="[Pracownicy].[Tryb_pracy].[All]" allUniqueName="[Pracownicy].[Tryb_pracy].[All]" dimensionUniqueName="[Pracownicy]" displayFolder="" count="0" memberValueDatatype="130" unbalanced="0"/>
    <cacheHierarchy uniqueName="[Pracownicy].[ID_Dzialu]" caption="ID_Dzialu" attribute="1" defaultMemberUniqueName="[Pracownicy].[ID_Dzialu].[All]" allUniqueName="[Pracownicy].[ID_Dzialu].[All]" dimensionUniqueName="[Pracownicy]" displayFolder="" count="0" memberValueDatatype="20" unbalanced="0"/>
    <cacheHierarchy uniqueName="[Wynagrodzenia].[Rok]" caption="Rok" attribute="1" defaultMemberUniqueName="[Wynagrodzenia].[Rok].[All]" allUniqueName="[Wynagrodzenia].[Rok].[All]" dimensionUniqueName="[Wynagrodzenia]" displayFolder="" count="0" memberValueDatatype="20" unbalanced="0"/>
    <cacheHierarchy uniqueName="[Wynagrodzenia].[ID_Pracownika]" caption="ID_Pracownika" attribute="1" defaultMemberUniqueName="[Wynagrodzenia].[ID_Pracownika].[All]" allUniqueName="[Wynagrodzenia].[ID_Pracownika].[All]" dimensionUniqueName="[Wynagrodzenia]" displayFolder="" count="0" memberValueDatatype="20" unbalanced="0"/>
    <cacheHierarchy uniqueName="[Wynagrodzenia].[Data]" caption="Data" attribute="1" time="1" defaultMemberUniqueName="[Wynagrodzenia].[Data].[All]" allUniqueName="[Wynagrodzenia].[Data].[All]" dimensionUniqueName="[Wynagrodzenia]" displayFolder="" count="0" memberValueDatatype="7" unbalanced="0"/>
    <cacheHierarchy uniqueName="[Wynagrodzenia].[Wynagrodzenie_brutto]" caption="Wynagrodzenie_brutto" attribute="1" defaultMemberUniqueName="[Wynagrodzenia].[Wynagrodzenie_brutto].[All]" allUniqueName="[Wynagrodzenia].[Wynagrodzenie_brutto].[All]" dimensionUniqueName="[Wynagrodzenia]" displayFolder="" count="0" memberValueDatatype="5" unbalanced="0"/>
    <cacheHierarchy uniqueName="[Wynagrodzenia].[Premia]" caption="Premia" attribute="1" defaultMemberUniqueName="[Wynagrodzenia].[Premia].[All]" allUniqueName="[Wynagrodzenia].[Premia].[All]" dimensionUniqueName="[Wynagrodzenia]" displayFolder="" count="0" memberValueDatatype="5" unbalanced="0"/>
    <cacheHierarchy uniqueName="[Wynagrodzenia].[Wynagrodzenie_calkowite]" caption="Wynagrodzenie_calkowite" attribute="1" defaultMemberUniqueName="[Wynagrodzenia].[Wynagrodzenie_calkowite].[All]" allUniqueName="[Wynagrodzenia].[Wynagrodzenie_calkowite].[All]" dimensionUniqueName="[Wynagrodzenia]" displayFolder="" count="0" memberValueDatatype="5" unbalanced="0"/>
    <cacheHierarchy uniqueName="[Measures].[Liczba Nazwa_Dzialu]" caption="Liczba Nazwa_Dzialu" measure="1" displayFolder="" measureGroup="Dział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Rok]" caption="Suma Rok" measure="1" displayFolder="" measureGroup="Kalendarz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Liczba_zatrudnionych_pracownikow]" caption="Liczba_zatrudnionych_pracownikow" measure="1" displayFolder="" measureGroup="Pracownicy" count="0"/>
    <cacheHierarchy uniqueName="[Measures].[Nowozatrudnieni_w_okresie]" caption="Nowozatrudnieni_w_okresie" measure="1" displayFolder="" measureGroup="Pracownicy" count="0"/>
    <cacheHierarchy uniqueName="[Measures].[Zwolnieni_w_okresie]" caption="Zwolnieni_w_okresie" measure="1" displayFolder="" measureGroup="Pracownicy" count="0"/>
    <cacheHierarchy uniqueName="[Measures].[Wskaznik_rotacji_proc]" caption="Wskaznik_rotacji_proc" measure="1" displayFolder="" measureGroup="Pracownicy" count="0"/>
    <cacheHierarchy uniqueName="[Measures].[Sredni_staz_lata]" caption="Sredni_staz_lata" measure="1" displayFolder="" measureGroup="Pracownicy" count="0"/>
    <cacheHierarchy uniqueName="[Measures].[Suma_wynagrodzen]" caption="Suma_wynagrodzen" measure="1" displayFolder="" measureGroup="Pracownicy" count="0"/>
    <cacheHierarchy uniqueName="[Measures].[Srednie_wynagrodzenie]" caption="Srednie_wynagrodzenie" measure="1" displayFolder="" measureGroup="Pracownicy" count="0"/>
    <cacheHierarchy uniqueName="[Measures].[Dni_absencji]" caption="Dni_absencji" measure="1" displayFolder="" measureGroup="Pracownicy" count="0" oneField="1">
      <fieldsUsage count="1">
        <fieldUsage x="2"/>
      </fieldsUsage>
    </cacheHierarchy>
    <cacheHierarchy uniqueName="[Measures].[Dni_absencji_na_pracownika]" caption="Dni_absencji_na_pracownika" measure="1" displayFolder="" measureGroup="Pracownicy" count="0"/>
    <cacheHierarchy uniqueName="[Measures].[__XL_Count Pracownicy]" caption="__XL_Count Pracownicy" measure="1" displayFolder="" measureGroup="Pracownicy" count="0" hidden="1"/>
    <cacheHierarchy uniqueName="[Measures].[__XL_Count Działy]" caption="__XL_Count Działy" measure="1" displayFolder="" measureGroup="Działy" count="0" hidden="1"/>
    <cacheHierarchy uniqueName="[Measures].[__XL_Count Absencje]" caption="__XL_Count Absencje" measure="1" displayFolder="" measureGroup="Absencje" count="0" hidden="1"/>
    <cacheHierarchy uniqueName="[Measures].[__XL_Count Wynagrodzenia]" caption="__XL_Count Wynagrodzenia" measure="1" displayFolder="" measureGroup="Wynagrodzenia" count="0" hidden="1"/>
    <cacheHierarchy uniqueName="[Measures].[__XL_Count Kalendarz]" caption="__XL_Count Kalendarz" measure="1" displayFolder="" measureGroup="Kalendarz" count="0" hidden="1"/>
    <cacheHierarchy uniqueName="[Measures].[__No measures defined]" caption="__No measures defined" measure="1" displayFolder="" count="0" hidden="1"/>
  </cacheHierarchies>
  <kpis count="0"/>
  <dimensions count="6">
    <dimension name="Absencje" uniqueName="[Absencje]" caption="Absencje"/>
    <dimension name="Działy" uniqueName="[Działy]" caption="Działy"/>
    <dimension name="Kalendarz" uniqueName="[Kalendarz]" caption="Kalendarz"/>
    <dimension measure="1" name="Measures" uniqueName="[Measures]" caption="Measures"/>
    <dimension name="Pracownicy" uniqueName="[Pracownicy]" caption="Pracownicy"/>
    <dimension name="Wynagrodzenia" uniqueName="[Wynagrodzenia]" caption="Wynagrodzenia"/>
  </dimensions>
  <measureGroups count="5">
    <measureGroup name="Absencje" caption="Absencje"/>
    <measureGroup name="Działy" caption="Działy"/>
    <measureGroup name="Kalendarz" caption="Kalendarz"/>
    <measureGroup name="Pracownicy" caption="Pracownicy"/>
    <measureGroup name="Wynagrodzenia" caption="Wynagrodzenia"/>
  </measureGroups>
  <maps count="11">
    <map measureGroup="0" dimension="0"/>
    <map measureGroup="0" dimension="1"/>
    <map measureGroup="0" dimension="4"/>
    <map measureGroup="1" dimension="1"/>
    <map measureGroup="2" dimension="2"/>
    <map measureGroup="3" dimension="1"/>
    <map measureGroup="3" dimension="4"/>
    <map measureGroup="4" dimension="1"/>
    <map measureGroup="4" dimension="2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chal" refreshedDate="46213.600828472219" backgroundQuery="1" createdVersion="8" refreshedVersion="8" minRefreshableVersion="3" recordCount="0" supportSubquery="1" supportAdvancedDrill="1" xr:uid="{AD52684B-105B-497B-B966-5F997DFF00ED}">
  <cacheSource type="external" connectionId="1"/>
  <cacheFields count="6">
    <cacheField name="[Measures].[Liczba_zatrudnionych_pracownikow]" caption="Liczba_zatrudnionych_pracownikow" numFmtId="0" hierarchy="33" level="32767"/>
    <cacheField name="[Measures].[Wskaznik_rotacji_proc]" caption="Wskaznik_rotacji_proc" numFmtId="0" hierarchy="36" level="32767"/>
    <cacheField name="[Measures].[Sredni_staz_lata]" caption="Sredni_staz_lata" numFmtId="0" hierarchy="37" level="32767"/>
    <cacheField name="[Measures].[Srednie_wynagrodzenie]" caption="Srednie_wynagrodzenie" numFmtId="0" hierarchy="39" level="32767"/>
    <cacheField name="[Measures].[Dni_absencji_na_pracownika]" caption="Dni_absencji_na_pracownika" numFmtId="0" hierarchy="41" level="32767"/>
    <cacheField name="[Pracownicy].[Stanowisko].[Stanowisko]" caption="Stanowisko" numFmtId="0" hierarchy="22" level="1">
      <sharedItems containsSemiMixedTypes="0" containsNonDate="0" containsString="0"/>
    </cacheField>
  </cacheFields>
  <cacheHierarchies count="48">
    <cacheHierarchy uniqueName="[Absencje].[ID_Absencji]" caption="ID_Absencji" attribute="1" defaultMemberUniqueName="[Absencje].[ID_Absencji].[All]" allUniqueName="[Absencje].[ID_Absencji].[All]" dimensionUniqueName="[Absencje]" displayFolder="" count="0" memberValueDatatype="20" unbalanced="0"/>
    <cacheHierarchy uniqueName="[Absencje].[ID_Pracownika]" caption="ID_Pracownika" attribute="1" defaultMemberUniqueName="[Absencje].[ID_Pracownika].[All]" allUniqueName="[Absencje].[ID_Pracownika].[All]" dimensionUniqueName="[Absencje]" displayFolder="" count="0" memberValueDatatype="20" unbalanced="0"/>
    <cacheHierarchy uniqueName="[Absencje].[Data_od]" caption="Data_od" attribute="1" time="1" defaultMemberUniqueName="[Absencje].[Data_od].[All]" allUniqueName="[Absencje].[Data_od].[All]" dimensionUniqueName="[Absencje]" displayFolder="" count="0" memberValueDatatype="7" unbalanced="0"/>
    <cacheHierarchy uniqueName="[Absencje].[Data_do]" caption="Data_do" attribute="1" time="1" defaultMemberUniqueName="[Absencje].[Data_do].[All]" allUniqueName="[Absencje].[Data_do].[All]" dimensionUniqueName="[Absencje]" displayFolder="" count="0" memberValueDatatype="7" unbalanced="0"/>
    <cacheHierarchy uniqueName="[Absencje].[Typ_absencji]" caption="Typ_absencji" attribute="1" defaultMemberUniqueName="[Absencje].[Typ_absencji].[All]" allUniqueName="[Absencje].[Typ_absencji].[All]" dimensionUniqueName="[Absencje]" displayFolder="" count="0" memberValueDatatype="130" unbalanced="0"/>
    <cacheHierarchy uniqueName="[Absencje].[Liczba_dni]" caption="Liczba_dni" attribute="1" defaultMemberUniqueName="[Absencje].[Liczba_dni].[All]" allUniqueName="[Absencje].[Liczba_dni].[All]" dimensionUniqueName="[Absencje]" displayFolder="" count="0" memberValueDatatype="20" unbalanced="0"/>
    <cacheHierarchy uniqueName="[Działy].[ID_Dzialu]" caption="ID_Dzialu" attribute="1" defaultMemberUniqueName="[Działy].[ID_Dzialu].[All]" allUniqueName="[Działy].[ID_Dzialu].[All]" dimensionUniqueName="[Działy]" displayFolder="" count="0" memberValueDatatype="20" unbalanced="0"/>
    <cacheHierarchy uniqueName="[Działy].[Nazwa_Dzialu]" caption="Nazwa_Dzialu" attribute="1" defaultMemberUniqueName="[Działy].[Nazwa_Dzialu].[All]" allUniqueName="[Działy].[Nazwa_Dzialu].[All]" dimensionUniqueName="[Działy]" displayFolder="" count="2" memberValueDatatype="130" unbalanced="0"/>
    <cacheHierarchy uniqueName="[Działy].[Lokalizacja]" caption="Lokalizacja" attribute="1" defaultMemberUniqueName="[Działy].[Lokalizacja].[All]" allUniqueName="[Działy].[Lokalizacja].[All]" dimensionUniqueName="[Działy]" displayFolder="" count="0" memberValueDatatype="130" unbalanced="0"/>
    <cacheHierarchy uniqueName="[Kalendarz].[Data]" caption="Data" attribute="1" time="1" defaultMemberUniqueName="[Kalendarz].[Data].[All]" allUniqueName="[Kalendarz].[Data].[All]" dimensionUniqueName="[Kalendarz]" displayFolder="" count="0" memberValueDatatype="7" unbalanced="0"/>
    <cacheHierarchy uniqueName="[Kalendarz].[Rok]" caption="Rok" attribute="1" defaultMemberUniqueName="[Kalendarz].[Rok].[All]" allUniqueName="[Kalendarz].[Rok].[All]" dimensionUniqueName="[Kalendarz]" displayFolder="" count="2" memberValueDatatype="20" unbalanced="0"/>
    <cacheHierarchy uniqueName="[Kalendarz].[Nazwa miesiąca]" caption="Nazwa miesiąca" attribute="1" defaultMemberUniqueName="[Kalendarz].[Nazwa miesiąca].[All]" allUniqueName="[Kalendarz].[Nazwa miesiąca].[All]" dimensionUniqueName="[Kalendarz]" displayFolder="" count="2" memberValueDatatype="130" unbalanced="0"/>
    <cacheHierarchy uniqueName="[Kalendarz].[Miesiąc]" caption="Miesiąc" attribute="1" defaultMemberUniqueName="[Kalendarz].[Miesiąc].[All]" allUniqueName="[Kalendarz].[Miesiąc].[All]" dimensionUniqueName="[Kalendarz]" displayFolder="" count="0" memberValueDatatype="20" unbalanced="0"/>
    <cacheHierarchy uniqueName="[Kalendarz].[Kwartał]" caption="Kwartał" attribute="1" defaultMemberUniqueName="[Kalendarz].[Kwartał].[All]" allUniqueName="[Kalendarz].[Kwartał].[All]" dimensionUniqueName="[Kalendarz]" displayFolder="" count="0" memberValueDatatype="20" unbalanced="0"/>
    <cacheHierarchy uniqueName="[Kalendarz].[Dzień tygodnia]" caption="Dzień tygodnia" attribute="1" defaultMemberUniqueName="[Kalendarz].[Dzień tygodnia].[All]" allUniqueName="[Kalendarz].[Dzień tygodnia].[All]" dimensionUniqueName="[Kalendarz]" displayFolder="" count="0" memberValueDatatype="20" unbalanced="0"/>
    <cacheHierarchy uniqueName="[Kalendarz].[Nazwa dnia]" caption="Nazwa dnia" attribute="1" defaultMemberUniqueName="[Kalendarz].[Nazwa dnia].[All]" allUniqueName="[Kalendarz].[Nazwa dnia].[All]" dimensionUniqueName="[Kalendarz]" displayFolder="" count="0" memberValueDatatype="130" unbalanced="0"/>
    <cacheHierarchy uniqueName="[Pracownicy].[ID_Pracownika]" caption="ID_Pracownika" attribute="1" defaultMemberUniqueName="[Pracownicy].[ID_Pracownika].[All]" allUniqueName="[Pracownicy].[ID_Pracownika].[All]" dimensionUniqueName="[Pracownicy]" displayFolder="" count="0" memberValueDatatype="20" unbalanced="0"/>
    <cacheHierarchy uniqueName="[Pracownicy].[Imie_Nazwisko]" caption="Imie_Nazwisko" attribute="1" defaultMemberUniqueName="[Pracownicy].[Imie_Nazwisko].[All]" allUniqueName="[Pracownicy].[Imie_Nazwisko].[All]" dimensionUniqueName="[Pracownicy]" displayFolder="" count="0" memberValueDatatype="130" unbalanced="0"/>
    <cacheHierarchy uniqueName="[Pracownicy].[Plec]" caption="Plec" attribute="1" defaultMemberUniqueName="[Pracownicy].[Plec].[All]" allUniqueName="[Pracownicy].[Plec].[All]" dimensionUniqueName="[Pracownicy]" displayFolder="" count="0" memberValueDatatype="130" unbalanced="0"/>
    <cacheHierarchy uniqueName="[Pracownicy].[Data_urodzenia]" caption="Data_urodzenia" attribute="1" time="1" defaultMemberUniqueName="[Pracownicy].[Data_urodzenia].[All]" allUniqueName="[Pracownicy].[Data_urodzenia].[All]" dimensionUniqueName="[Pracownicy]" displayFolder="" count="0" memberValueDatatype="7" unbalanced="0"/>
    <cacheHierarchy uniqueName="[Pracownicy].[Data_zatrudnienia]" caption="Data_zatrudnienia" attribute="1" time="1" defaultMemberUniqueName="[Pracownicy].[Data_zatrudnienia].[All]" allUniqueName="[Pracownicy].[Data_zatrudnienia].[All]" dimensionUniqueName="[Pracownicy]" displayFolder="" count="0" memberValueDatatype="7" unbalanced="0"/>
    <cacheHierarchy uniqueName="[Pracownicy].[Data_zwolnienia]" caption="Data_zwolnienia" attribute="1" time="1" defaultMemberUniqueName="[Pracownicy].[Data_zwolnienia].[All]" allUniqueName="[Pracownicy].[Data_zwolnienia].[All]" dimensionUniqueName="[Pracownicy]" displayFolder="" count="0" memberValueDatatype="7" unbalanced="0"/>
    <cacheHierarchy uniqueName="[Pracownicy].[Stanowisko]" caption="Stanowisko" attribute="1" defaultMemberUniqueName="[Pracownicy].[Stanowisko].[All]" allUniqueName="[Pracownicy].[Stanowisko].[All]" dimensionUniqueName="[Pracownicy]" displayFolder="" count="2" memberValueDatatype="130" unbalanced="0">
      <fieldsUsage count="2">
        <fieldUsage x="-1"/>
        <fieldUsage x="5"/>
      </fieldsUsage>
    </cacheHierarchy>
    <cacheHierarchy uniqueName="[Pracownicy].[Tryb_pracy]" caption="Tryb_pracy" attribute="1" defaultMemberUniqueName="[Pracownicy].[Tryb_pracy].[All]" allUniqueName="[Pracownicy].[Tryb_pracy].[All]" dimensionUniqueName="[Pracownicy]" displayFolder="" count="0" memberValueDatatype="130" unbalanced="0"/>
    <cacheHierarchy uniqueName="[Pracownicy].[ID_Dzialu]" caption="ID_Dzialu" attribute="1" defaultMemberUniqueName="[Pracownicy].[ID_Dzialu].[All]" allUniqueName="[Pracownicy].[ID_Dzialu].[All]" dimensionUniqueName="[Pracownicy]" displayFolder="" count="0" memberValueDatatype="20" unbalanced="0"/>
    <cacheHierarchy uniqueName="[Wynagrodzenia].[Rok]" caption="Rok" attribute="1" defaultMemberUniqueName="[Wynagrodzenia].[Rok].[All]" allUniqueName="[Wynagrodzenia].[Rok].[All]" dimensionUniqueName="[Wynagrodzenia]" displayFolder="" count="0" memberValueDatatype="20" unbalanced="0"/>
    <cacheHierarchy uniqueName="[Wynagrodzenia].[ID_Pracownika]" caption="ID_Pracownika" attribute="1" defaultMemberUniqueName="[Wynagrodzenia].[ID_Pracownika].[All]" allUniqueName="[Wynagrodzenia].[ID_Pracownika].[All]" dimensionUniqueName="[Wynagrodzenia]" displayFolder="" count="0" memberValueDatatype="20" unbalanced="0"/>
    <cacheHierarchy uniqueName="[Wynagrodzenia].[Data]" caption="Data" attribute="1" time="1" defaultMemberUniqueName="[Wynagrodzenia].[Data].[All]" allUniqueName="[Wynagrodzenia].[Data].[All]" dimensionUniqueName="[Wynagrodzenia]" displayFolder="" count="0" memberValueDatatype="7" unbalanced="0"/>
    <cacheHierarchy uniqueName="[Wynagrodzenia].[Wynagrodzenie_brutto]" caption="Wynagrodzenie_brutto" attribute="1" defaultMemberUniqueName="[Wynagrodzenia].[Wynagrodzenie_brutto].[All]" allUniqueName="[Wynagrodzenia].[Wynagrodzenie_brutto].[All]" dimensionUniqueName="[Wynagrodzenia]" displayFolder="" count="0" memberValueDatatype="5" unbalanced="0"/>
    <cacheHierarchy uniqueName="[Wynagrodzenia].[Premia]" caption="Premia" attribute="1" defaultMemberUniqueName="[Wynagrodzenia].[Premia].[All]" allUniqueName="[Wynagrodzenia].[Premia].[All]" dimensionUniqueName="[Wynagrodzenia]" displayFolder="" count="0" memberValueDatatype="5" unbalanced="0"/>
    <cacheHierarchy uniqueName="[Wynagrodzenia].[Wynagrodzenie_calkowite]" caption="Wynagrodzenie_calkowite" attribute="1" defaultMemberUniqueName="[Wynagrodzenia].[Wynagrodzenie_calkowite].[All]" allUniqueName="[Wynagrodzenia].[Wynagrodzenie_calkowite].[All]" dimensionUniqueName="[Wynagrodzenia]" displayFolder="" count="0" memberValueDatatype="5" unbalanced="0"/>
    <cacheHierarchy uniqueName="[Measures].[Liczba Nazwa_Dzialu]" caption="Liczba Nazwa_Dzialu" measure="1" displayFolder="" measureGroup="Dział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Rok]" caption="Suma Rok" measure="1" displayFolder="" measureGroup="Kalendarz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Liczba_zatrudnionych_pracownikow]" caption="Liczba_zatrudnionych_pracownikow" measure="1" displayFolder="" measureGroup="Pracownicy" count="0" oneField="1">
      <fieldsUsage count="1">
        <fieldUsage x="0"/>
      </fieldsUsage>
    </cacheHierarchy>
    <cacheHierarchy uniqueName="[Measures].[Nowozatrudnieni_w_okresie]" caption="Nowozatrudnieni_w_okresie" measure="1" displayFolder="" measureGroup="Pracownicy" count="0"/>
    <cacheHierarchy uniqueName="[Measures].[Zwolnieni_w_okresie]" caption="Zwolnieni_w_okresie" measure="1" displayFolder="" measureGroup="Pracownicy" count="0"/>
    <cacheHierarchy uniqueName="[Measures].[Wskaznik_rotacji_proc]" caption="Wskaznik_rotacji_proc" measure="1" displayFolder="" measureGroup="Pracownicy" count="0" oneField="1">
      <fieldsUsage count="1">
        <fieldUsage x="1"/>
      </fieldsUsage>
    </cacheHierarchy>
    <cacheHierarchy uniqueName="[Measures].[Sredni_staz_lata]" caption="Sredni_staz_lata" measure="1" displayFolder="" measureGroup="Pracownicy" count="0" oneField="1">
      <fieldsUsage count="1">
        <fieldUsage x="2"/>
      </fieldsUsage>
    </cacheHierarchy>
    <cacheHierarchy uniqueName="[Measures].[Suma_wynagrodzen]" caption="Suma_wynagrodzen" measure="1" displayFolder="" measureGroup="Pracownicy" count="0"/>
    <cacheHierarchy uniqueName="[Measures].[Srednie_wynagrodzenie]" caption="Srednie_wynagrodzenie" measure="1" displayFolder="" measureGroup="Pracownicy" count="0" oneField="1">
      <fieldsUsage count="1">
        <fieldUsage x="3"/>
      </fieldsUsage>
    </cacheHierarchy>
    <cacheHierarchy uniqueName="[Measures].[Dni_absencji]" caption="Dni_absencji" measure="1" displayFolder="" measureGroup="Pracownicy" count="0"/>
    <cacheHierarchy uniqueName="[Measures].[Dni_absencji_na_pracownika]" caption="Dni_absencji_na_pracownika" measure="1" displayFolder="" measureGroup="Pracownicy" count="0" oneField="1">
      <fieldsUsage count="1">
        <fieldUsage x="4"/>
      </fieldsUsage>
    </cacheHierarchy>
    <cacheHierarchy uniqueName="[Measures].[__XL_Count Pracownicy]" caption="__XL_Count Pracownicy" measure="1" displayFolder="" measureGroup="Pracownicy" count="0" hidden="1"/>
    <cacheHierarchy uniqueName="[Measures].[__XL_Count Działy]" caption="__XL_Count Działy" measure="1" displayFolder="" measureGroup="Działy" count="0" hidden="1"/>
    <cacheHierarchy uniqueName="[Measures].[__XL_Count Absencje]" caption="__XL_Count Absencje" measure="1" displayFolder="" measureGroup="Absencje" count="0" hidden="1"/>
    <cacheHierarchy uniqueName="[Measures].[__XL_Count Wynagrodzenia]" caption="__XL_Count Wynagrodzenia" measure="1" displayFolder="" measureGroup="Wynagrodzenia" count="0" hidden="1"/>
    <cacheHierarchy uniqueName="[Measures].[__XL_Count Kalendarz]" caption="__XL_Count Kalendarz" measure="1" displayFolder="" measureGroup="Kalendarz" count="0" hidden="1"/>
    <cacheHierarchy uniqueName="[Measures].[__No measures defined]" caption="__No measures defined" measure="1" displayFolder="" count="0" hidden="1"/>
  </cacheHierarchies>
  <kpis count="0"/>
  <dimensions count="6">
    <dimension name="Absencje" uniqueName="[Absencje]" caption="Absencje"/>
    <dimension name="Działy" uniqueName="[Działy]" caption="Działy"/>
    <dimension name="Kalendarz" uniqueName="[Kalendarz]" caption="Kalendarz"/>
    <dimension measure="1" name="Measures" uniqueName="[Measures]" caption="Measures"/>
    <dimension name="Pracownicy" uniqueName="[Pracownicy]" caption="Pracownicy"/>
    <dimension name="Wynagrodzenia" uniqueName="[Wynagrodzenia]" caption="Wynagrodzenia"/>
  </dimensions>
  <measureGroups count="5">
    <measureGroup name="Absencje" caption="Absencje"/>
    <measureGroup name="Działy" caption="Działy"/>
    <measureGroup name="Kalendarz" caption="Kalendarz"/>
    <measureGroup name="Pracownicy" caption="Pracownicy"/>
    <measureGroup name="Wynagrodzenia" caption="Wynagrodzenia"/>
  </measureGroups>
  <maps count="11">
    <map measureGroup="0" dimension="0"/>
    <map measureGroup="0" dimension="1"/>
    <map measureGroup="0" dimension="4"/>
    <map measureGroup="1" dimension="1"/>
    <map measureGroup="2" dimension="2"/>
    <map measureGroup="3" dimension="1"/>
    <map measureGroup="3" dimension="4"/>
    <map measureGroup="4" dimension="1"/>
    <map measureGroup="4" dimension="2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chal" refreshedDate="46213.600828819443" backgroundQuery="1" createdVersion="8" refreshedVersion="8" minRefreshableVersion="3" recordCount="0" supportSubquery="1" supportAdvancedDrill="1" xr:uid="{709781A0-B773-48E2-872D-C37BDD287C82}">
  <cacheSource type="external" connectionId="1"/>
  <cacheFields count="6">
    <cacheField name="[Kalendarz].[Rok].[Rok]" caption="Rok" numFmtId="0" hierarchy="10" level="1">
      <sharedItems containsSemiMixedTypes="0" containsString="0" containsNumber="1" containsInteger="1" minValue="2023" maxValue="2025" count="3"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Kalendarz].[Rok].&amp;[2023]"/>
            <x15:cachedUniqueName index="1" name="[Kalendarz].[Rok].&amp;[2024]"/>
            <x15:cachedUniqueName index="2" name="[Kalendarz].[Rok].&amp;[2025]"/>
          </x15:cachedUniqueNames>
        </ext>
      </extLst>
    </cacheField>
    <cacheField name="[Measures].[Liczba_zatrudnionych_pracownikow]" caption="Liczba_zatrudnionych_pracownikow" numFmtId="0" hierarchy="33" level="32767"/>
    <cacheField name="[Measures].[Nowozatrudnieni_w_okresie]" caption="Nowozatrudnieni_w_okresie" numFmtId="0" hierarchy="34" level="32767"/>
    <cacheField name="[Measures].[Zwolnieni_w_okresie]" caption="Zwolnieni_w_okresie" numFmtId="0" hierarchy="35" level="32767"/>
    <cacheField name="[Kalendarz].[Nazwa miesiąca].[Nazwa miesiąca]" caption="Nazwa miesiąca" numFmtId="0" hierarchy="11" level="1">
      <sharedItems count="12">
        <s v="czerwiec"/>
        <s v="grudzień"/>
        <s v="kwiecień"/>
        <s v="lipiec"/>
        <s v="listopad"/>
        <s v="luty"/>
        <s v="maj"/>
        <s v="marzec"/>
        <s v="październik"/>
        <s v="sierpień"/>
        <s v="styczeń"/>
        <s v="wrzesień"/>
      </sharedItems>
    </cacheField>
    <cacheField name="[Pracownicy].[Stanowisko].[Stanowisko]" caption="Stanowisko" numFmtId="0" hierarchy="22" level="1">
      <sharedItems containsSemiMixedTypes="0" containsNonDate="0" containsString="0"/>
    </cacheField>
  </cacheFields>
  <cacheHierarchies count="48">
    <cacheHierarchy uniqueName="[Absencje].[ID_Absencji]" caption="ID_Absencji" attribute="1" defaultMemberUniqueName="[Absencje].[ID_Absencji].[All]" allUniqueName="[Absencje].[ID_Absencji].[All]" dimensionUniqueName="[Absencje]" displayFolder="" count="0" memberValueDatatype="20" unbalanced="0"/>
    <cacheHierarchy uniqueName="[Absencje].[ID_Pracownika]" caption="ID_Pracownika" attribute="1" defaultMemberUniqueName="[Absencje].[ID_Pracownika].[All]" allUniqueName="[Absencje].[ID_Pracownika].[All]" dimensionUniqueName="[Absencje]" displayFolder="" count="0" memberValueDatatype="20" unbalanced="0"/>
    <cacheHierarchy uniqueName="[Absencje].[Data_od]" caption="Data_od" attribute="1" time="1" defaultMemberUniqueName="[Absencje].[Data_od].[All]" allUniqueName="[Absencje].[Data_od].[All]" dimensionUniqueName="[Absencje]" displayFolder="" count="0" memberValueDatatype="7" unbalanced="0"/>
    <cacheHierarchy uniqueName="[Absencje].[Data_do]" caption="Data_do" attribute="1" time="1" defaultMemberUniqueName="[Absencje].[Data_do].[All]" allUniqueName="[Absencje].[Data_do].[All]" dimensionUniqueName="[Absencje]" displayFolder="" count="0" memberValueDatatype="7" unbalanced="0"/>
    <cacheHierarchy uniqueName="[Absencje].[Typ_absencji]" caption="Typ_absencji" attribute="1" defaultMemberUniqueName="[Absencje].[Typ_absencji].[All]" allUniqueName="[Absencje].[Typ_absencji].[All]" dimensionUniqueName="[Absencje]" displayFolder="" count="0" memberValueDatatype="130" unbalanced="0"/>
    <cacheHierarchy uniqueName="[Absencje].[Liczba_dni]" caption="Liczba_dni" attribute="1" defaultMemberUniqueName="[Absencje].[Liczba_dni].[All]" allUniqueName="[Absencje].[Liczba_dni].[All]" dimensionUniqueName="[Absencje]" displayFolder="" count="0" memberValueDatatype="20" unbalanced="0"/>
    <cacheHierarchy uniqueName="[Działy].[ID_Dzialu]" caption="ID_Dzialu" attribute="1" defaultMemberUniqueName="[Działy].[ID_Dzialu].[All]" allUniqueName="[Działy].[ID_Dzialu].[All]" dimensionUniqueName="[Działy]" displayFolder="" count="0" memberValueDatatype="20" unbalanced="0"/>
    <cacheHierarchy uniqueName="[Działy].[Nazwa_Dzialu]" caption="Nazwa_Dzialu" attribute="1" defaultMemberUniqueName="[Działy].[Nazwa_Dzialu].[All]" allUniqueName="[Działy].[Nazwa_Dzialu].[All]" dimensionUniqueName="[Działy]" displayFolder="" count="2" memberValueDatatype="130" unbalanced="0"/>
    <cacheHierarchy uniqueName="[Działy].[Lokalizacja]" caption="Lokalizacja" attribute="1" defaultMemberUniqueName="[Działy].[Lokalizacja].[All]" allUniqueName="[Działy].[Lokalizacja].[All]" dimensionUniqueName="[Działy]" displayFolder="" count="0" memberValueDatatype="130" unbalanced="0"/>
    <cacheHierarchy uniqueName="[Kalendarz].[Data]" caption="Data" attribute="1" time="1" defaultMemberUniqueName="[Kalendarz].[Data].[All]" allUniqueName="[Kalendarz].[Data].[All]" dimensionUniqueName="[Kalendarz]" displayFolder="" count="0" memberValueDatatype="7" unbalanced="0"/>
    <cacheHierarchy uniqueName="[Kalendarz].[Rok]" caption="Rok" attribute="1" defaultMemberUniqueName="[Kalendarz].[Rok].[All]" allUniqueName="[Kalendarz].[Rok].[All]" dimensionUniqueName="[Kalendarz]" displayFolder="" count="2" memberValueDatatype="20" unbalanced="0">
      <fieldsUsage count="2">
        <fieldUsage x="-1"/>
        <fieldUsage x="0"/>
      </fieldsUsage>
    </cacheHierarchy>
    <cacheHierarchy uniqueName="[Kalendarz].[Nazwa miesiąca]" caption="Nazwa miesiąca" attribute="1" defaultMemberUniqueName="[Kalendarz].[Nazwa miesiąca].[All]" allUniqueName="[Kalendarz].[Nazwa miesiąca].[All]" dimensionUniqueName="[Kalendarz]" displayFolder="" count="2" memberValueDatatype="130" unbalanced="0">
      <fieldsUsage count="2">
        <fieldUsage x="-1"/>
        <fieldUsage x="4"/>
      </fieldsUsage>
    </cacheHierarchy>
    <cacheHierarchy uniqueName="[Kalendarz].[Miesiąc]" caption="Miesiąc" attribute="1" defaultMemberUniqueName="[Kalendarz].[Miesiąc].[All]" allUniqueName="[Kalendarz].[Miesiąc].[All]" dimensionUniqueName="[Kalendarz]" displayFolder="" count="0" memberValueDatatype="20" unbalanced="0"/>
    <cacheHierarchy uniqueName="[Kalendarz].[Kwartał]" caption="Kwartał" attribute="1" defaultMemberUniqueName="[Kalendarz].[Kwartał].[All]" allUniqueName="[Kalendarz].[Kwartał].[All]" dimensionUniqueName="[Kalendarz]" displayFolder="" count="0" memberValueDatatype="20" unbalanced="0"/>
    <cacheHierarchy uniqueName="[Kalendarz].[Dzień tygodnia]" caption="Dzień tygodnia" attribute="1" defaultMemberUniqueName="[Kalendarz].[Dzień tygodnia].[All]" allUniqueName="[Kalendarz].[Dzień tygodnia].[All]" dimensionUniqueName="[Kalendarz]" displayFolder="" count="0" memberValueDatatype="20" unbalanced="0"/>
    <cacheHierarchy uniqueName="[Kalendarz].[Nazwa dnia]" caption="Nazwa dnia" attribute="1" defaultMemberUniqueName="[Kalendarz].[Nazwa dnia].[All]" allUniqueName="[Kalendarz].[Nazwa dnia].[All]" dimensionUniqueName="[Kalendarz]" displayFolder="" count="0" memberValueDatatype="130" unbalanced="0"/>
    <cacheHierarchy uniqueName="[Pracownicy].[ID_Pracownika]" caption="ID_Pracownika" attribute="1" defaultMemberUniqueName="[Pracownicy].[ID_Pracownika].[All]" allUniqueName="[Pracownicy].[ID_Pracownika].[All]" dimensionUniqueName="[Pracownicy]" displayFolder="" count="0" memberValueDatatype="20" unbalanced="0"/>
    <cacheHierarchy uniqueName="[Pracownicy].[Imie_Nazwisko]" caption="Imie_Nazwisko" attribute="1" defaultMemberUniqueName="[Pracownicy].[Imie_Nazwisko].[All]" allUniqueName="[Pracownicy].[Imie_Nazwisko].[All]" dimensionUniqueName="[Pracownicy]" displayFolder="" count="0" memberValueDatatype="130" unbalanced="0"/>
    <cacheHierarchy uniqueName="[Pracownicy].[Plec]" caption="Plec" attribute="1" defaultMemberUniqueName="[Pracownicy].[Plec].[All]" allUniqueName="[Pracownicy].[Plec].[All]" dimensionUniqueName="[Pracownicy]" displayFolder="" count="0" memberValueDatatype="130" unbalanced="0"/>
    <cacheHierarchy uniqueName="[Pracownicy].[Data_urodzenia]" caption="Data_urodzenia" attribute="1" time="1" defaultMemberUniqueName="[Pracownicy].[Data_urodzenia].[All]" allUniqueName="[Pracownicy].[Data_urodzenia].[All]" dimensionUniqueName="[Pracownicy]" displayFolder="" count="0" memberValueDatatype="7" unbalanced="0"/>
    <cacheHierarchy uniqueName="[Pracownicy].[Data_zatrudnienia]" caption="Data_zatrudnienia" attribute="1" time="1" defaultMemberUniqueName="[Pracownicy].[Data_zatrudnienia].[All]" allUniqueName="[Pracownicy].[Data_zatrudnienia].[All]" dimensionUniqueName="[Pracownicy]" displayFolder="" count="0" memberValueDatatype="7" unbalanced="0"/>
    <cacheHierarchy uniqueName="[Pracownicy].[Data_zwolnienia]" caption="Data_zwolnienia" attribute="1" time="1" defaultMemberUniqueName="[Pracownicy].[Data_zwolnienia].[All]" allUniqueName="[Pracownicy].[Data_zwolnienia].[All]" dimensionUniqueName="[Pracownicy]" displayFolder="" count="0" memberValueDatatype="7" unbalanced="0"/>
    <cacheHierarchy uniqueName="[Pracownicy].[Stanowisko]" caption="Stanowisko" attribute="1" defaultMemberUniqueName="[Pracownicy].[Stanowisko].[All]" allUniqueName="[Pracownicy].[Stanowisko].[All]" dimensionUniqueName="[Pracownicy]" displayFolder="" count="2" memberValueDatatype="130" unbalanced="0">
      <fieldsUsage count="2">
        <fieldUsage x="-1"/>
        <fieldUsage x="5"/>
      </fieldsUsage>
    </cacheHierarchy>
    <cacheHierarchy uniqueName="[Pracownicy].[Tryb_pracy]" caption="Tryb_pracy" attribute="1" defaultMemberUniqueName="[Pracownicy].[Tryb_pracy].[All]" allUniqueName="[Pracownicy].[Tryb_pracy].[All]" dimensionUniqueName="[Pracownicy]" displayFolder="" count="0" memberValueDatatype="130" unbalanced="0"/>
    <cacheHierarchy uniqueName="[Pracownicy].[ID_Dzialu]" caption="ID_Dzialu" attribute="1" defaultMemberUniqueName="[Pracownicy].[ID_Dzialu].[All]" allUniqueName="[Pracownicy].[ID_Dzialu].[All]" dimensionUniqueName="[Pracownicy]" displayFolder="" count="0" memberValueDatatype="20" unbalanced="0"/>
    <cacheHierarchy uniqueName="[Wynagrodzenia].[Rok]" caption="Rok" attribute="1" defaultMemberUniqueName="[Wynagrodzenia].[Rok].[All]" allUniqueName="[Wynagrodzenia].[Rok].[All]" dimensionUniqueName="[Wynagrodzenia]" displayFolder="" count="0" memberValueDatatype="20" unbalanced="0"/>
    <cacheHierarchy uniqueName="[Wynagrodzenia].[ID_Pracownika]" caption="ID_Pracownika" attribute="1" defaultMemberUniqueName="[Wynagrodzenia].[ID_Pracownika].[All]" allUniqueName="[Wynagrodzenia].[ID_Pracownika].[All]" dimensionUniqueName="[Wynagrodzenia]" displayFolder="" count="0" memberValueDatatype="20" unbalanced="0"/>
    <cacheHierarchy uniqueName="[Wynagrodzenia].[Data]" caption="Data" attribute="1" time="1" defaultMemberUniqueName="[Wynagrodzenia].[Data].[All]" allUniqueName="[Wynagrodzenia].[Data].[All]" dimensionUniqueName="[Wynagrodzenia]" displayFolder="" count="0" memberValueDatatype="7" unbalanced="0"/>
    <cacheHierarchy uniqueName="[Wynagrodzenia].[Wynagrodzenie_brutto]" caption="Wynagrodzenie_brutto" attribute="1" defaultMemberUniqueName="[Wynagrodzenia].[Wynagrodzenie_brutto].[All]" allUniqueName="[Wynagrodzenia].[Wynagrodzenie_brutto].[All]" dimensionUniqueName="[Wynagrodzenia]" displayFolder="" count="0" memberValueDatatype="5" unbalanced="0"/>
    <cacheHierarchy uniqueName="[Wynagrodzenia].[Premia]" caption="Premia" attribute="1" defaultMemberUniqueName="[Wynagrodzenia].[Premia].[All]" allUniqueName="[Wynagrodzenia].[Premia].[All]" dimensionUniqueName="[Wynagrodzenia]" displayFolder="" count="0" memberValueDatatype="5" unbalanced="0"/>
    <cacheHierarchy uniqueName="[Wynagrodzenia].[Wynagrodzenie_calkowite]" caption="Wynagrodzenie_calkowite" attribute="1" defaultMemberUniqueName="[Wynagrodzenia].[Wynagrodzenie_calkowite].[All]" allUniqueName="[Wynagrodzenia].[Wynagrodzenie_calkowite].[All]" dimensionUniqueName="[Wynagrodzenia]" displayFolder="" count="0" memberValueDatatype="5" unbalanced="0"/>
    <cacheHierarchy uniqueName="[Measures].[Liczba Nazwa_Dzialu]" caption="Liczba Nazwa_Dzialu" measure="1" displayFolder="" measureGroup="Dział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Rok]" caption="Suma Rok" measure="1" displayFolder="" measureGroup="Kalendarz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Liczba_zatrudnionych_pracownikow]" caption="Liczba_zatrudnionych_pracownikow" measure="1" displayFolder="" measureGroup="Pracownicy" count="0" oneField="1">
      <fieldsUsage count="1">
        <fieldUsage x="1"/>
      </fieldsUsage>
    </cacheHierarchy>
    <cacheHierarchy uniqueName="[Measures].[Nowozatrudnieni_w_okresie]" caption="Nowozatrudnieni_w_okresie" measure="1" displayFolder="" measureGroup="Pracownicy" count="0" oneField="1">
      <fieldsUsage count="1">
        <fieldUsage x="2"/>
      </fieldsUsage>
    </cacheHierarchy>
    <cacheHierarchy uniqueName="[Measures].[Zwolnieni_w_okresie]" caption="Zwolnieni_w_okresie" measure="1" displayFolder="" measureGroup="Pracownicy" count="0" oneField="1">
      <fieldsUsage count="1">
        <fieldUsage x="3"/>
      </fieldsUsage>
    </cacheHierarchy>
    <cacheHierarchy uniqueName="[Measures].[Wskaznik_rotacji_proc]" caption="Wskaznik_rotacji_proc" measure="1" displayFolder="" measureGroup="Pracownicy" count="0"/>
    <cacheHierarchy uniqueName="[Measures].[Sredni_staz_lata]" caption="Sredni_staz_lata" measure="1" displayFolder="" measureGroup="Pracownicy" count="0"/>
    <cacheHierarchy uniqueName="[Measures].[Suma_wynagrodzen]" caption="Suma_wynagrodzen" measure="1" displayFolder="" measureGroup="Pracownicy" count="0"/>
    <cacheHierarchy uniqueName="[Measures].[Srednie_wynagrodzenie]" caption="Srednie_wynagrodzenie" measure="1" displayFolder="" measureGroup="Pracownicy" count="0"/>
    <cacheHierarchy uniqueName="[Measures].[Dni_absencji]" caption="Dni_absencji" measure="1" displayFolder="" measureGroup="Pracownicy" count="0"/>
    <cacheHierarchy uniqueName="[Measures].[Dni_absencji_na_pracownika]" caption="Dni_absencji_na_pracownika" measure="1" displayFolder="" measureGroup="Pracownicy" count="0"/>
    <cacheHierarchy uniqueName="[Measures].[__XL_Count Pracownicy]" caption="__XL_Count Pracownicy" measure="1" displayFolder="" measureGroup="Pracownicy" count="0" hidden="1"/>
    <cacheHierarchy uniqueName="[Measures].[__XL_Count Działy]" caption="__XL_Count Działy" measure="1" displayFolder="" measureGroup="Działy" count="0" hidden="1"/>
    <cacheHierarchy uniqueName="[Measures].[__XL_Count Absencje]" caption="__XL_Count Absencje" measure="1" displayFolder="" measureGroup="Absencje" count="0" hidden="1"/>
    <cacheHierarchy uniqueName="[Measures].[__XL_Count Wynagrodzenia]" caption="__XL_Count Wynagrodzenia" measure="1" displayFolder="" measureGroup="Wynagrodzenia" count="0" hidden="1"/>
    <cacheHierarchy uniqueName="[Measures].[__XL_Count Kalendarz]" caption="__XL_Count Kalendarz" measure="1" displayFolder="" measureGroup="Kalendarz" count="0" hidden="1"/>
    <cacheHierarchy uniqueName="[Measures].[__No measures defined]" caption="__No measures defined" measure="1" displayFolder="" count="0" hidden="1"/>
  </cacheHierarchies>
  <kpis count="0"/>
  <dimensions count="6">
    <dimension name="Absencje" uniqueName="[Absencje]" caption="Absencje"/>
    <dimension name="Działy" uniqueName="[Działy]" caption="Działy"/>
    <dimension name="Kalendarz" uniqueName="[Kalendarz]" caption="Kalendarz"/>
    <dimension measure="1" name="Measures" uniqueName="[Measures]" caption="Measures"/>
    <dimension name="Pracownicy" uniqueName="[Pracownicy]" caption="Pracownicy"/>
    <dimension name="Wynagrodzenia" uniqueName="[Wynagrodzenia]" caption="Wynagrodzenia"/>
  </dimensions>
  <measureGroups count="5">
    <measureGroup name="Absencje" caption="Absencje"/>
    <measureGroup name="Działy" caption="Działy"/>
    <measureGroup name="Kalendarz" caption="Kalendarz"/>
    <measureGroup name="Pracownicy" caption="Pracownicy"/>
    <measureGroup name="Wynagrodzenia" caption="Wynagrodzenia"/>
  </measureGroups>
  <maps count="11">
    <map measureGroup="0" dimension="0"/>
    <map measureGroup="0" dimension="1"/>
    <map measureGroup="0" dimension="4"/>
    <map measureGroup="1" dimension="1"/>
    <map measureGroup="2" dimension="2"/>
    <map measureGroup="3" dimension="1"/>
    <map measureGroup="3" dimension="4"/>
    <map measureGroup="4" dimension="1"/>
    <map measureGroup="4" dimension="2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chal" refreshedDate="46213.600829166666" backgroundQuery="1" createdVersion="8" refreshedVersion="8" minRefreshableVersion="3" recordCount="0" supportSubquery="1" supportAdvancedDrill="1" xr:uid="{1CBAB0BF-3ED9-4FF1-A0F1-D6E7D34B0DF8}">
  <cacheSource type="external" connectionId="1"/>
  <cacheFields count="3">
    <cacheField name="[Measures].[Wskaznik_rotacji_proc]" caption="Wskaznik_rotacji_proc" numFmtId="0" hierarchy="36" level="32767"/>
    <cacheField name="[Działy].[Nazwa_Dzialu].[Nazwa_Dzialu]" caption="Nazwa_Dzialu" numFmtId="0" hierarchy="7" level="1">
      <sharedItems count="7">
        <s v="Finanse"/>
        <s v="HR"/>
        <s v="IT"/>
        <s v="Logistyka"/>
        <s v="Marketing"/>
        <s v="Obsługa Klienta"/>
        <s v="Sprzedaż"/>
      </sharedItems>
    </cacheField>
    <cacheField name="[Pracownicy].[Stanowisko].[Stanowisko]" caption="Stanowisko" numFmtId="0" hierarchy="22" level="1">
      <sharedItems containsSemiMixedTypes="0" containsNonDate="0" containsString="0"/>
    </cacheField>
  </cacheFields>
  <cacheHierarchies count="48">
    <cacheHierarchy uniqueName="[Absencje].[ID_Absencji]" caption="ID_Absencji" attribute="1" defaultMemberUniqueName="[Absencje].[ID_Absencji].[All]" allUniqueName="[Absencje].[ID_Absencji].[All]" dimensionUniqueName="[Absencje]" displayFolder="" count="0" memberValueDatatype="20" unbalanced="0"/>
    <cacheHierarchy uniqueName="[Absencje].[ID_Pracownika]" caption="ID_Pracownika" attribute="1" defaultMemberUniqueName="[Absencje].[ID_Pracownika].[All]" allUniqueName="[Absencje].[ID_Pracownika].[All]" dimensionUniqueName="[Absencje]" displayFolder="" count="0" memberValueDatatype="20" unbalanced="0"/>
    <cacheHierarchy uniqueName="[Absencje].[Data_od]" caption="Data_od" attribute="1" time="1" defaultMemberUniqueName="[Absencje].[Data_od].[All]" allUniqueName="[Absencje].[Data_od].[All]" dimensionUniqueName="[Absencje]" displayFolder="" count="0" memberValueDatatype="7" unbalanced="0"/>
    <cacheHierarchy uniqueName="[Absencje].[Data_do]" caption="Data_do" attribute="1" time="1" defaultMemberUniqueName="[Absencje].[Data_do].[All]" allUniqueName="[Absencje].[Data_do].[All]" dimensionUniqueName="[Absencje]" displayFolder="" count="0" memberValueDatatype="7" unbalanced="0"/>
    <cacheHierarchy uniqueName="[Absencje].[Typ_absencji]" caption="Typ_absencji" attribute="1" defaultMemberUniqueName="[Absencje].[Typ_absencji].[All]" allUniqueName="[Absencje].[Typ_absencji].[All]" dimensionUniqueName="[Absencje]" displayFolder="" count="0" memberValueDatatype="130" unbalanced="0"/>
    <cacheHierarchy uniqueName="[Absencje].[Liczba_dni]" caption="Liczba_dni" attribute="1" defaultMemberUniqueName="[Absencje].[Liczba_dni].[All]" allUniqueName="[Absencje].[Liczba_dni].[All]" dimensionUniqueName="[Absencje]" displayFolder="" count="0" memberValueDatatype="20" unbalanced="0"/>
    <cacheHierarchy uniqueName="[Działy].[ID_Dzialu]" caption="ID_Dzialu" attribute="1" defaultMemberUniqueName="[Działy].[ID_Dzialu].[All]" allUniqueName="[Działy].[ID_Dzialu].[All]" dimensionUniqueName="[Działy]" displayFolder="" count="0" memberValueDatatype="20" unbalanced="0"/>
    <cacheHierarchy uniqueName="[Działy].[Nazwa_Dzialu]" caption="Nazwa_Dzialu" attribute="1" defaultMemberUniqueName="[Działy].[Nazwa_Dzialu].[All]" allUniqueName="[Działy].[Nazwa_Dzialu].[All]" dimensionUniqueName="[Działy]" displayFolder="" count="2" memberValueDatatype="130" unbalanced="0">
      <fieldsUsage count="2">
        <fieldUsage x="-1"/>
        <fieldUsage x="1"/>
      </fieldsUsage>
    </cacheHierarchy>
    <cacheHierarchy uniqueName="[Działy].[Lokalizacja]" caption="Lokalizacja" attribute="1" defaultMemberUniqueName="[Działy].[Lokalizacja].[All]" allUniqueName="[Działy].[Lokalizacja].[All]" dimensionUniqueName="[Działy]" displayFolder="" count="0" memberValueDatatype="130" unbalanced="0"/>
    <cacheHierarchy uniqueName="[Kalendarz].[Data]" caption="Data" attribute="1" time="1" defaultMemberUniqueName="[Kalendarz].[Data].[All]" allUniqueName="[Kalendarz].[Data].[All]" dimensionUniqueName="[Kalendarz]" displayFolder="" count="0" memberValueDatatype="7" unbalanced="0"/>
    <cacheHierarchy uniqueName="[Kalendarz].[Rok]" caption="Rok" attribute="1" defaultMemberUniqueName="[Kalendarz].[Rok].[All]" allUniqueName="[Kalendarz].[Rok].[All]" dimensionUniqueName="[Kalendarz]" displayFolder="" count="2" memberValueDatatype="20" unbalanced="0"/>
    <cacheHierarchy uniqueName="[Kalendarz].[Nazwa miesiąca]" caption="Nazwa miesiąca" attribute="1" defaultMemberUniqueName="[Kalendarz].[Nazwa miesiąca].[All]" allUniqueName="[Kalendarz].[Nazwa miesiąca].[All]" dimensionUniqueName="[Kalendarz]" displayFolder="" count="2" memberValueDatatype="130" unbalanced="0"/>
    <cacheHierarchy uniqueName="[Kalendarz].[Miesiąc]" caption="Miesiąc" attribute="1" defaultMemberUniqueName="[Kalendarz].[Miesiąc].[All]" allUniqueName="[Kalendarz].[Miesiąc].[All]" dimensionUniqueName="[Kalendarz]" displayFolder="" count="0" memberValueDatatype="20" unbalanced="0"/>
    <cacheHierarchy uniqueName="[Kalendarz].[Kwartał]" caption="Kwartał" attribute="1" defaultMemberUniqueName="[Kalendarz].[Kwartał].[All]" allUniqueName="[Kalendarz].[Kwartał].[All]" dimensionUniqueName="[Kalendarz]" displayFolder="" count="0" memberValueDatatype="20" unbalanced="0"/>
    <cacheHierarchy uniqueName="[Kalendarz].[Dzień tygodnia]" caption="Dzień tygodnia" attribute="1" defaultMemberUniqueName="[Kalendarz].[Dzień tygodnia].[All]" allUniqueName="[Kalendarz].[Dzień tygodnia].[All]" dimensionUniqueName="[Kalendarz]" displayFolder="" count="0" memberValueDatatype="20" unbalanced="0"/>
    <cacheHierarchy uniqueName="[Kalendarz].[Nazwa dnia]" caption="Nazwa dnia" attribute="1" defaultMemberUniqueName="[Kalendarz].[Nazwa dnia].[All]" allUniqueName="[Kalendarz].[Nazwa dnia].[All]" dimensionUniqueName="[Kalendarz]" displayFolder="" count="0" memberValueDatatype="130" unbalanced="0"/>
    <cacheHierarchy uniqueName="[Pracownicy].[ID_Pracownika]" caption="ID_Pracownika" attribute="1" defaultMemberUniqueName="[Pracownicy].[ID_Pracownika].[All]" allUniqueName="[Pracownicy].[ID_Pracownika].[All]" dimensionUniqueName="[Pracownicy]" displayFolder="" count="0" memberValueDatatype="20" unbalanced="0"/>
    <cacheHierarchy uniqueName="[Pracownicy].[Imie_Nazwisko]" caption="Imie_Nazwisko" attribute="1" defaultMemberUniqueName="[Pracownicy].[Imie_Nazwisko].[All]" allUniqueName="[Pracownicy].[Imie_Nazwisko].[All]" dimensionUniqueName="[Pracownicy]" displayFolder="" count="0" memberValueDatatype="130" unbalanced="0"/>
    <cacheHierarchy uniqueName="[Pracownicy].[Plec]" caption="Plec" attribute="1" defaultMemberUniqueName="[Pracownicy].[Plec].[All]" allUniqueName="[Pracownicy].[Plec].[All]" dimensionUniqueName="[Pracownicy]" displayFolder="" count="0" memberValueDatatype="130" unbalanced="0"/>
    <cacheHierarchy uniqueName="[Pracownicy].[Data_urodzenia]" caption="Data_urodzenia" attribute="1" time="1" defaultMemberUniqueName="[Pracownicy].[Data_urodzenia].[All]" allUniqueName="[Pracownicy].[Data_urodzenia].[All]" dimensionUniqueName="[Pracownicy]" displayFolder="" count="0" memberValueDatatype="7" unbalanced="0"/>
    <cacheHierarchy uniqueName="[Pracownicy].[Data_zatrudnienia]" caption="Data_zatrudnienia" attribute="1" time="1" defaultMemberUniqueName="[Pracownicy].[Data_zatrudnienia].[All]" allUniqueName="[Pracownicy].[Data_zatrudnienia].[All]" dimensionUniqueName="[Pracownicy]" displayFolder="" count="0" memberValueDatatype="7" unbalanced="0"/>
    <cacheHierarchy uniqueName="[Pracownicy].[Data_zwolnienia]" caption="Data_zwolnienia" attribute="1" time="1" defaultMemberUniqueName="[Pracownicy].[Data_zwolnienia].[All]" allUniqueName="[Pracownicy].[Data_zwolnienia].[All]" dimensionUniqueName="[Pracownicy]" displayFolder="" count="0" memberValueDatatype="7" unbalanced="0"/>
    <cacheHierarchy uniqueName="[Pracownicy].[Stanowisko]" caption="Stanowisko" attribute="1" defaultMemberUniqueName="[Pracownicy].[Stanowisko].[All]" allUniqueName="[Pracownicy].[Stanowisko].[All]" dimensionUniqueName="[Pracownicy]" displayFolder="" count="2" memberValueDatatype="130" unbalanced="0">
      <fieldsUsage count="2">
        <fieldUsage x="-1"/>
        <fieldUsage x="2"/>
      </fieldsUsage>
    </cacheHierarchy>
    <cacheHierarchy uniqueName="[Pracownicy].[Tryb_pracy]" caption="Tryb_pracy" attribute="1" defaultMemberUniqueName="[Pracownicy].[Tryb_pracy].[All]" allUniqueName="[Pracownicy].[Tryb_pracy].[All]" dimensionUniqueName="[Pracownicy]" displayFolder="" count="0" memberValueDatatype="130" unbalanced="0"/>
    <cacheHierarchy uniqueName="[Pracownicy].[ID_Dzialu]" caption="ID_Dzialu" attribute="1" defaultMemberUniqueName="[Pracownicy].[ID_Dzialu].[All]" allUniqueName="[Pracownicy].[ID_Dzialu].[All]" dimensionUniqueName="[Pracownicy]" displayFolder="" count="0" memberValueDatatype="20" unbalanced="0"/>
    <cacheHierarchy uniqueName="[Wynagrodzenia].[Rok]" caption="Rok" attribute="1" defaultMemberUniqueName="[Wynagrodzenia].[Rok].[All]" allUniqueName="[Wynagrodzenia].[Rok].[All]" dimensionUniqueName="[Wynagrodzenia]" displayFolder="" count="0" memberValueDatatype="20" unbalanced="0"/>
    <cacheHierarchy uniqueName="[Wynagrodzenia].[ID_Pracownika]" caption="ID_Pracownika" attribute="1" defaultMemberUniqueName="[Wynagrodzenia].[ID_Pracownika].[All]" allUniqueName="[Wynagrodzenia].[ID_Pracownika].[All]" dimensionUniqueName="[Wynagrodzenia]" displayFolder="" count="0" memberValueDatatype="20" unbalanced="0"/>
    <cacheHierarchy uniqueName="[Wynagrodzenia].[Data]" caption="Data" attribute="1" time="1" defaultMemberUniqueName="[Wynagrodzenia].[Data].[All]" allUniqueName="[Wynagrodzenia].[Data].[All]" dimensionUniqueName="[Wynagrodzenia]" displayFolder="" count="0" memberValueDatatype="7" unbalanced="0"/>
    <cacheHierarchy uniqueName="[Wynagrodzenia].[Wynagrodzenie_brutto]" caption="Wynagrodzenie_brutto" attribute="1" defaultMemberUniqueName="[Wynagrodzenia].[Wynagrodzenie_brutto].[All]" allUniqueName="[Wynagrodzenia].[Wynagrodzenie_brutto].[All]" dimensionUniqueName="[Wynagrodzenia]" displayFolder="" count="0" memberValueDatatype="5" unbalanced="0"/>
    <cacheHierarchy uniqueName="[Wynagrodzenia].[Premia]" caption="Premia" attribute="1" defaultMemberUniqueName="[Wynagrodzenia].[Premia].[All]" allUniqueName="[Wynagrodzenia].[Premia].[All]" dimensionUniqueName="[Wynagrodzenia]" displayFolder="" count="0" memberValueDatatype="5" unbalanced="0"/>
    <cacheHierarchy uniqueName="[Wynagrodzenia].[Wynagrodzenie_calkowite]" caption="Wynagrodzenie_calkowite" attribute="1" defaultMemberUniqueName="[Wynagrodzenia].[Wynagrodzenie_calkowite].[All]" allUniqueName="[Wynagrodzenia].[Wynagrodzenie_calkowite].[All]" dimensionUniqueName="[Wynagrodzenia]" displayFolder="" count="0" memberValueDatatype="5" unbalanced="0"/>
    <cacheHierarchy uniqueName="[Measures].[Liczba Nazwa_Dzialu]" caption="Liczba Nazwa_Dzialu" measure="1" displayFolder="" measureGroup="Dział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Rok]" caption="Suma Rok" measure="1" displayFolder="" measureGroup="Kalendarz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Liczba_zatrudnionych_pracownikow]" caption="Liczba_zatrudnionych_pracownikow" measure="1" displayFolder="" measureGroup="Pracownicy" count="0"/>
    <cacheHierarchy uniqueName="[Measures].[Nowozatrudnieni_w_okresie]" caption="Nowozatrudnieni_w_okresie" measure="1" displayFolder="" measureGroup="Pracownicy" count="0"/>
    <cacheHierarchy uniqueName="[Measures].[Zwolnieni_w_okresie]" caption="Zwolnieni_w_okresie" measure="1" displayFolder="" measureGroup="Pracownicy" count="0"/>
    <cacheHierarchy uniqueName="[Measures].[Wskaznik_rotacji_proc]" caption="Wskaznik_rotacji_proc" measure="1" displayFolder="" measureGroup="Pracownicy" count="0" oneField="1">
      <fieldsUsage count="1">
        <fieldUsage x="0"/>
      </fieldsUsage>
    </cacheHierarchy>
    <cacheHierarchy uniqueName="[Measures].[Sredni_staz_lata]" caption="Sredni_staz_lata" measure="1" displayFolder="" measureGroup="Pracownicy" count="0"/>
    <cacheHierarchy uniqueName="[Measures].[Suma_wynagrodzen]" caption="Suma_wynagrodzen" measure="1" displayFolder="" measureGroup="Pracownicy" count="0"/>
    <cacheHierarchy uniqueName="[Measures].[Srednie_wynagrodzenie]" caption="Srednie_wynagrodzenie" measure="1" displayFolder="" measureGroup="Pracownicy" count="0"/>
    <cacheHierarchy uniqueName="[Measures].[Dni_absencji]" caption="Dni_absencji" measure="1" displayFolder="" measureGroup="Pracownicy" count="0"/>
    <cacheHierarchy uniqueName="[Measures].[Dni_absencji_na_pracownika]" caption="Dni_absencji_na_pracownika" measure="1" displayFolder="" measureGroup="Pracownicy" count="0"/>
    <cacheHierarchy uniqueName="[Measures].[__XL_Count Pracownicy]" caption="__XL_Count Pracownicy" measure="1" displayFolder="" measureGroup="Pracownicy" count="0" hidden="1"/>
    <cacheHierarchy uniqueName="[Measures].[__XL_Count Działy]" caption="__XL_Count Działy" measure="1" displayFolder="" measureGroup="Działy" count="0" hidden="1"/>
    <cacheHierarchy uniqueName="[Measures].[__XL_Count Absencje]" caption="__XL_Count Absencje" measure="1" displayFolder="" measureGroup="Absencje" count="0" hidden="1"/>
    <cacheHierarchy uniqueName="[Measures].[__XL_Count Wynagrodzenia]" caption="__XL_Count Wynagrodzenia" measure="1" displayFolder="" measureGroup="Wynagrodzenia" count="0" hidden="1"/>
    <cacheHierarchy uniqueName="[Measures].[__XL_Count Kalendarz]" caption="__XL_Count Kalendarz" measure="1" displayFolder="" measureGroup="Kalendarz" count="0" hidden="1"/>
    <cacheHierarchy uniqueName="[Measures].[__No measures defined]" caption="__No measures defined" measure="1" displayFolder="" count="0" hidden="1"/>
  </cacheHierarchies>
  <kpis count="0"/>
  <dimensions count="6">
    <dimension name="Absencje" uniqueName="[Absencje]" caption="Absencje"/>
    <dimension name="Działy" uniqueName="[Działy]" caption="Działy"/>
    <dimension name="Kalendarz" uniqueName="[Kalendarz]" caption="Kalendarz"/>
    <dimension measure="1" name="Measures" uniqueName="[Measures]" caption="Measures"/>
    <dimension name="Pracownicy" uniqueName="[Pracownicy]" caption="Pracownicy"/>
    <dimension name="Wynagrodzenia" uniqueName="[Wynagrodzenia]" caption="Wynagrodzenia"/>
  </dimensions>
  <measureGroups count="5">
    <measureGroup name="Absencje" caption="Absencje"/>
    <measureGroup name="Działy" caption="Działy"/>
    <measureGroup name="Kalendarz" caption="Kalendarz"/>
    <measureGroup name="Pracownicy" caption="Pracownicy"/>
    <measureGroup name="Wynagrodzenia" caption="Wynagrodzenia"/>
  </measureGroups>
  <maps count="11">
    <map measureGroup="0" dimension="0"/>
    <map measureGroup="0" dimension="1"/>
    <map measureGroup="0" dimension="4"/>
    <map measureGroup="1" dimension="1"/>
    <map measureGroup="2" dimension="2"/>
    <map measureGroup="3" dimension="1"/>
    <map measureGroup="3" dimension="4"/>
    <map measureGroup="4" dimension="1"/>
    <map measureGroup="4" dimension="2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chal" refreshedDate="46213.600829629628" backgroundQuery="1" createdVersion="8" refreshedVersion="8" minRefreshableVersion="3" recordCount="0" supportSubquery="1" supportAdvancedDrill="1" xr:uid="{7488864D-3B9A-4366-8731-DB463261F2C5}">
  <cacheSource type="external" connectionId="1"/>
  <cacheFields count="3">
    <cacheField name="[Działy].[Nazwa_Dzialu].[Nazwa_Dzialu]" caption="Nazwa_Dzialu" numFmtId="0" hierarchy="7" level="1">
      <sharedItems count="7">
        <s v="Finanse"/>
        <s v="HR"/>
        <s v="IT"/>
        <s v="Logistyka"/>
        <s v="Marketing"/>
        <s v="Obsługa Klienta"/>
        <s v="Sprzedaż"/>
      </sharedItems>
    </cacheField>
    <cacheField name="[Pracownicy].[Stanowisko].[Stanowisko]" caption="Stanowisko" numFmtId="0" hierarchy="22" level="1">
      <sharedItems count="22">
        <s v="Kontroler finansowy"/>
        <s v="Księgowy"/>
        <s v="Specjalista ds. finansów"/>
        <s v="HR Business Partner"/>
        <s v="Rekruter"/>
        <s v="Specjalista ds. HR"/>
        <s v="Administrator systemów"/>
        <s v="Analityk danych"/>
        <s v="Kierownik IT"/>
        <s v="Programista"/>
        <s v="Kierownik magazynu"/>
        <s v="Magazynier"/>
        <s v="Specjalista ds. logistyki"/>
        <s v="Analityk marketingowy"/>
        <s v="Kierownik marketingu"/>
        <s v="Specjalista ds. marketingu"/>
        <s v="Kierownik zespołu"/>
        <s v="Konsultant"/>
        <s v="Starszy konsultant"/>
        <s v="Kierownik sprzedaży"/>
        <s v="Specjalista ds. sprzedaży"/>
        <s v="Starszy specjalista ds. sprzedaży"/>
      </sharedItems>
    </cacheField>
    <cacheField name="[Measures].[Srednie_wynagrodzenie]" caption="Srednie_wynagrodzenie" numFmtId="0" hierarchy="39" level="32767"/>
  </cacheFields>
  <cacheHierarchies count="48">
    <cacheHierarchy uniqueName="[Absencje].[ID_Absencji]" caption="ID_Absencji" attribute="1" defaultMemberUniqueName="[Absencje].[ID_Absencji].[All]" allUniqueName="[Absencje].[ID_Absencji].[All]" dimensionUniqueName="[Absencje]" displayFolder="" count="0" memberValueDatatype="20" unbalanced="0"/>
    <cacheHierarchy uniqueName="[Absencje].[ID_Pracownika]" caption="ID_Pracownika" attribute="1" defaultMemberUniqueName="[Absencje].[ID_Pracownika].[All]" allUniqueName="[Absencje].[ID_Pracownika].[All]" dimensionUniqueName="[Absencje]" displayFolder="" count="0" memberValueDatatype="20" unbalanced="0"/>
    <cacheHierarchy uniqueName="[Absencje].[Data_od]" caption="Data_od" attribute="1" time="1" defaultMemberUniqueName="[Absencje].[Data_od].[All]" allUniqueName="[Absencje].[Data_od].[All]" dimensionUniqueName="[Absencje]" displayFolder="" count="0" memberValueDatatype="7" unbalanced="0"/>
    <cacheHierarchy uniqueName="[Absencje].[Data_do]" caption="Data_do" attribute="1" time="1" defaultMemberUniqueName="[Absencje].[Data_do].[All]" allUniqueName="[Absencje].[Data_do].[All]" dimensionUniqueName="[Absencje]" displayFolder="" count="0" memberValueDatatype="7" unbalanced="0"/>
    <cacheHierarchy uniqueName="[Absencje].[Typ_absencji]" caption="Typ_absencji" attribute="1" defaultMemberUniqueName="[Absencje].[Typ_absencji].[All]" allUniqueName="[Absencje].[Typ_absencji].[All]" dimensionUniqueName="[Absencje]" displayFolder="" count="0" memberValueDatatype="130" unbalanced="0"/>
    <cacheHierarchy uniqueName="[Absencje].[Liczba_dni]" caption="Liczba_dni" attribute="1" defaultMemberUniqueName="[Absencje].[Liczba_dni].[All]" allUniqueName="[Absencje].[Liczba_dni].[All]" dimensionUniqueName="[Absencje]" displayFolder="" count="0" memberValueDatatype="20" unbalanced="0"/>
    <cacheHierarchy uniqueName="[Działy].[ID_Dzialu]" caption="ID_Dzialu" attribute="1" defaultMemberUniqueName="[Działy].[ID_Dzialu].[All]" allUniqueName="[Działy].[ID_Dzialu].[All]" dimensionUniqueName="[Działy]" displayFolder="" count="0" memberValueDatatype="20" unbalanced="0"/>
    <cacheHierarchy uniqueName="[Działy].[Nazwa_Dzialu]" caption="Nazwa_Dzialu" attribute="1" defaultMemberUniqueName="[Działy].[Nazwa_Dzialu].[All]" allUniqueName="[Działy].[Nazwa_Dzialu].[All]" dimensionUniqueName="[Działy]" displayFolder="" count="2" memberValueDatatype="130" unbalanced="0">
      <fieldsUsage count="2">
        <fieldUsage x="-1"/>
        <fieldUsage x="0"/>
      </fieldsUsage>
    </cacheHierarchy>
    <cacheHierarchy uniqueName="[Działy].[Lokalizacja]" caption="Lokalizacja" attribute="1" defaultMemberUniqueName="[Działy].[Lokalizacja].[All]" allUniqueName="[Działy].[Lokalizacja].[All]" dimensionUniqueName="[Działy]" displayFolder="" count="0" memberValueDatatype="130" unbalanced="0"/>
    <cacheHierarchy uniqueName="[Kalendarz].[Data]" caption="Data" attribute="1" time="1" defaultMemberUniqueName="[Kalendarz].[Data].[All]" allUniqueName="[Kalendarz].[Data].[All]" dimensionUniqueName="[Kalendarz]" displayFolder="" count="0" memberValueDatatype="7" unbalanced="0"/>
    <cacheHierarchy uniqueName="[Kalendarz].[Rok]" caption="Rok" attribute="1" defaultMemberUniqueName="[Kalendarz].[Rok].[All]" allUniqueName="[Kalendarz].[Rok].[All]" dimensionUniqueName="[Kalendarz]" displayFolder="" count="2" memberValueDatatype="20" unbalanced="0"/>
    <cacheHierarchy uniqueName="[Kalendarz].[Nazwa miesiąca]" caption="Nazwa miesiąca" attribute="1" defaultMemberUniqueName="[Kalendarz].[Nazwa miesiąca].[All]" allUniqueName="[Kalendarz].[Nazwa miesiąca].[All]" dimensionUniqueName="[Kalendarz]" displayFolder="" count="2" memberValueDatatype="130" unbalanced="0"/>
    <cacheHierarchy uniqueName="[Kalendarz].[Miesiąc]" caption="Miesiąc" attribute="1" defaultMemberUniqueName="[Kalendarz].[Miesiąc].[All]" allUniqueName="[Kalendarz].[Miesiąc].[All]" dimensionUniqueName="[Kalendarz]" displayFolder="" count="0" memberValueDatatype="20" unbalanced="0"/>
    <cacheHierarchy uniqueName="[Kalendarz].[Kwartał]" caption="Kwartał" attribute="1" defaultMemberUniqueName="[Kalendarz].[Kwartał].[All]" allUniqueName="[Kalendarz].[Kwartał].[All]" dimensionUniqueName="[Kalendarz]" displayFolder="" count="0" memberValueDatatype="20" unbalanced="0"/>
    <cacheHierarchy uniqueName="[Kalendarz].[Dzień tygodnia]" caption="Dzień tygodnia" attribute="1" defaultMemberUniqueName="[Kalendarz].[Dzień tygodnia].[All]" allUniqueName="[Kalendarz].[Dzień tygodnia].[All]" dimensionUniqueName="[Kalendarz]" displayFolder="" count="0" memberValueDatatype="20" unbalanced="0"/>
    <cacheHierarchy uniqueName="[Kalendarz].[Nazwa dnia]" caption="Nazwa dnia" attribute="1" defaultMemberUniqueName="[Kalendarz].[Nazwa dnia].[All]" allUniqueName="[Kalendarz].[Nazwa dnia].[All]" dimensionUniqueName="[Kalendarz]" displayFolder="" count="0" memberValueDatatype="130" unbalanced="0"/>
    <cacheHierarchy uniqueName="[Pracownicy].[ID_Pracownika]" caption="ID_Pracownika" attribute="1" defaultMemberUniqueName="[Pracownicy].[ID_Pracownika].[All]" allUniqueName="[Pracownicy].[ID_Pracownika].[All]" dimensionUniqueName="[Pracownicy]" displayFolder="" count="0" memberValueDatatype="20" unbalanced="0"/>
    <cacheHierarchy uniqueName="[Pracownicy].[Imie_Nazwisko]" caption="Imie_Nazwisko" attribute="1" defaultMemberUniqueName="[Pracownicy].[Imie_Nazwisko].[All]" allUniqueName="[Pracownicy].[Imie_Nazwisko].[All]" dimensionUniqueName="[Pracownicy]" displayFolder="" count="0" memberValueDatatype="130" unbalanced="0"/>
    <cacheHierarchy uniqueName="[Pracownicy].[Plec]" caption="Plec" attribute="1" defaultMemberUniqueName="[Pracownicy].[Plec].[All]" allUniqueName="[Pracownicy].[Plec].[All]" dimensionUniqueName="[Pracownicy]" displayFolder="" count="0" memberValueDatatype="130" unbalanced="0"/>
    <cacheHierarchy uniqueName="[Pracownicy].[Data_urodzenia]" caption="Data_urodzenia" attribute="1" time="1" defaultMemberUniqueName="[Pracownicy].[Data_urodzenia].[All]" allUniqueName="[Pracownicy].[Data_urodzenia].[All]" dimensionUniqueName="[Pracownicy]" displayFolder="" count="0" memberValueDatatype="7" unbalanced="0"/>
    <cacheHierarchy uniqueName="[Pracownicy].[Data_zatrudnienia]" caption="Data_zatrudnienia" attribute="1" time="1" defaultMemberUniqueName="[Pracownicy].[Data_zatrudnienia].[All]" allUniqueName="[Pracownicy].[Data_zatrudnienia].[All]" dimensionUniqueName="[Pracownicy]" displayFolder="" count="0" memberValueDatatype="7" unbalanced="0"/>
    <cacheHierarchy uniqueName="[Pracownicy].[Data_zwolnienia]" caption="Data_zwolnienia" attribute="1" time="1" defaultMemberUniqueName="[Pracownicy].[Data_zwolnienia].[All]" allUniqueName="[Pracownicy].[Data_zwolnienia].[All]" dimensionUniqueName="[Pracownicy]" displayFolder="" count="0" memberValueDatatype="7" unbalanced="0"/>
    <cacheHierarchy uniqueName="[Pracownicy].[Stanowisko]" caption="Stanowisko" attribute="1" defaultMemberUniqueName="[Pracownicy].[Stanowisko].[All]" allUniqueName="[Pracownicy].[Stanowisko].[All]" dimensionUniqueName="[Pracownicy]" displayFolder="" count="2" memberValueDatatype="130" unbalanced="0">
      <fieldsUsage count="2">
        <fieldUsage x="-1"/>
        <fieldUsage x="1"/>
      </fieldsUsage>
    </cacheHierarchy>
    <cacheHierarchy uniqueName="[Pracownicy].[Tryb_pracy]" caption="Tryb_pracy" attribute="1" defaultMemberUniqueName="[Pracownicy].[Tryb_pracy].[All]" allUniqueName="[Pracownicy].[Tryb_pracy].[All]" dimensionUniqueName="[Pracownicy]" displayFolder="" count="0" memberValueDatatype="130" unbalanced="0"/>
    <cacheHierarchy uniqueName="[Pracownicy].[ID_Dzialu]" caption="ID_Dzialu" attribute="1" defaultMemberUniqueName="[Pracownicy].[ID_Dzialu].[All]" allUniqueName="[Pracownicy].[ID_Dzialu].[All]" dimensionUniqueName="[Pracownicy]" displayFolder="" count="0" memberValueDatatype="20" unbalanced="0"/>
    <cacheHierarchy uniqueName="[Wynagrodzenia].[Rok]" caption="Rok" attribute="1" defaultMemberUniqueName="[Wynagrodzenia].[Rok].[All]" allUniqueName="[Wynagrodzenia].[Rok].[All]" dimensionUniqueName="[Wynagrodzenia]" displayFolder="" count="0" memberValueDatatype="20" unbalanced="0"/>
    <cacheHierarchy uniqueName="[Wynagrodzenia].[ID_Pracownika]" caption="ID_Pracownika" attribute="1" defaultMemberUniqueName="[Wynagrodzenia].[ID_Pracownika].[All]" allUniqueName="[Wynagrodzenia].[ID_Pracownika].[All]" dimensionUniqueName="[Wynagrodzenia]" displayFolder="" count="0" memberValueDatatype="20" unbalanced="0"/>
    <cacheHierarchy uniqueName="[Wynagrodzenia].[Data]" caption="Data" attribute="1" time="1" defaultMemberUniqueName="[Wynagrodzenia].[Data].[All]" allUniqueName="[Wynagrodzenia].[Data].[All]" dimensionUniqueName="[Wynagrodzenia]" displayFolder="" count="0" memberValueDatatype="7" unbalanced="0"/>
    <cacheHierarchy uniqueName="[Wynagrodzenia].[Wynagrodzenie_brutto]" caption="Wynagrodzenie_brutto" attribute="1" defaultMemberUniqueName="[Wynagrodzenia].[Wynagrodzenie_brutto].[All]" allUniqueName="[Wynagrodzenia].[Wynagrodzenie_brutto].[All]" dimensionUniqueName="[Wynagrodzenia]" displayFolder="" count="0" memberValueDatatype="5" unbalanced="0"/>
    <cacheHierarchy uniqueName="[Wynagrodzenia].[Premia]" caption="Premia" attribute="1" defaultMemberUniqueName="[Wynagrodzenia].[Premia].[All]" allUniqueName="[Wynagrodzenia].[Premia].[All]" dimensionUniqueName="[Wynagrodzenia]" displayFolder="" count="0" memberValueDatatype="5" unbalanced="0"/>
    <cacheHierarchy uniqueName="[Wynagrodzenia].[Wynagrodzenie_calkowite]" caption="Wynagrodzenie_calkowite" attribute="1" defaultMemberUniqueName="[Wynagrodzenia].[Wynagrodzenie_calkowite].[All]" allUniqueName="[Wynagrodzenia].[Wynagrodzenie_calkowite].[All]" dimensionUniqueName="[Wynagrodzenia]" displayFolder="" count="0" memberValueDatatype="5" unbalanced="0"/>
    <cacheHierarchy uniqueName="[Measures].[Liczba Nazwa_Dzialu]" caption="Liczba Nazwa_Dzialu" measure="1" displayFolder="" measureGroup="Dział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Rok]" caption="Suma Rok" measure="1" displayFolder="" measureGroup="Kalendarz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Liczba_zatrudnionych_pracownikow]" caption="Liczba_zatrudnionych_pracownikow" measure="1" displayFolder="" measureGroup="Pracownicy" count="0"/>
    <cacheHierarchy uniqueName="[Measures].[Nowozatrudnieni_w_okresie]" caption="Nowozatrudnieni_w_okresie" measure="1" displayFolder="" measureGroup="Pracownicy" count="0"/>
    <cacheHierarchy uniqueName="[Measures].[Zwolnieni_w_okresie]" caption="Zwolnieni_w_okresie" measure="1" displayFolder="" measureGroup="Pracownicy" count="0"/>
    <cacheHierarchy uniqueName="[Measures].[Wskaznik_rotacji_proc]" caption="Wskaznik_rotacji_proc" measure="1" displayFolder="" measureGroup="Pracownicy" count="0"/>
    <cacheHierarchy uniqueName="[Measures].[Sredni_staz_lata]" caption="Sredni_staz_lata" measure="1" displayFolder="" measureGroup="Pracownicy" count="0"/>
    <cacheHierarchy uniqueName="[Measures].[Suma_wynagrodzen]" caption="Suma_wynagrodzen" measure="1" displayFolder="" measureGroup="Pracownicy" count="0"/>
    <cacheHierarchy uniqueName="[Measures].[Srednie_wynagrodzenie]" caption="Srednie_wynagrodzenie" measure="1" displayFolder="" measureGroup="Pracownicy" count="0" oneField="1">
      <fieldsUsage count="1">
        <fieldUsage x="2"/>
      </fieldsUsage>
    </cacheHierarchy>
    <cacheHierarchy uniqueName="[Measures].[Dni_absencji]" caption="Dni_absencji" measure="1" displayFolder="" measureGroup="Pracownicy" count="0"/>
    <cacheHierarchy uniqueName="[Measures].[Dni_absencji_na_pracownika]" caption="Dni_absencji_na_pracownika" measure="1" displayFolder="" measureGroup="Pracownicy" count="0"/>
    <cacheHierarchy uniqueName="[Measures].[__XL_Count Pracownicy]" caption="__XL_Count Pracownicy" measure="1" displayFolder="" measureGroup="Pracownicy" count="0" hidden="1"/>
    <cacheHierarchy uniqueName="[Measures].[__XL_Count Działy]" caption="__XL_Count Działy" measure="1" displayFolder="" measureGroup="Działy" count="0" hidden="1"/>
    <cacheHierarchy uniqueName="[Measures].[__XL_Count Absencje]" caption="__XL_Count Absencje" measure="1" displayFolder="" measureGroup="Absencje" count="0" hidden="1"/>
    <cacheHierarchy uniqueName="[Measures].[__XL_Count Wynagrodzenia]" caption="__XL_Count Wynagrodzenia" measure="1" displayFolder="" measureGroup="Wynagrodzenia" count="0" hidden="1"/>
    <cacheHierarchy uniqueName="[Measures].[__XL_Count Kalendarz]" caption="__XL_Count Kalendarz" measure="1" displayFolder="" measureGroup="Kalendarz" count="0" hidden="1"/>
    <cacheHierarchy uniqueName="[Measures].[__No measures defined]" caption="__No measures defined" measure="1" displayFolder="" count="0" hidden="1"/>
  </cacheHierarchies>
  <kpis count="0"/>
  <dimensions count="6">
    <dimension name="Absencje" uniqueName="[Absencje]" caption="Absencje"/>
    <dimension name="Działy" uniqueName="[Działy]" caption="Działy"/>
    <dimension name="Kalendarz" uniqueName="[Kalendarz]" caption="Kalendarz"/>
    <dimension measure="1" name="Measures" uniqueName="[Measures]" caption="Measures"/>
    <dimension name="Pracownicy" uniqueName="[Pracownicy]" caption="Pracownicy"/>
    <dimension name="Wynagrodzenia" uniqueName="[Wynagrodzenia]" caption="Wynagrodzenia"/>
  </dimensions>
  <measureGroups count="5">
    <measureGroup name="Absencje" caption="Absencje"/>
    <measureGroup name="Działy" caption="Działy"/>
    <measureGroup name="Kalendarz" caption="Kalendarz"/>
    <measureGroup name="Pracownicy" caption="Pracownicy"/>
    <measureGroup name="Wynagrodzenia" caption="Wynagrodzenia"/>
  </measureGroups>
  <maps count="11">
    <map measureGroup="0" dimension="0"/>
    <map measureGroup="0" dimension="1"/>
    <map measureGroup="0" dimension="4"/>
    <map measureGroup="1" dimension="1"/>
    <map measureGroup="2" dimension="2"/>
    <map measureGroup="3" dimension="1"/>
    <map measureGroup="3" dimension="4"/>
    <map measureGroup="4" dimension="1"/>
    <map measureGroup="4" dimension="2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chal" refreshedDate="46213.413421527781" backgroundQuery="1" createdVersion="3" refreshedVersion="8" minRefreshableVersion="3" recordCount="0" supportSubquery="1" supportAdvancedDrill="1" xr:uid="{524FEA07-ECAC-4345-8F0D-DC2202E0F7C8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8">
    <cacheHierarchy uniqueName="[Absencje].[ID_Absencji]" caption="ID_Absencji" attribute="1" defaultMemberUniqueName="[Absencje].[ID_Absencji].[All]" allUniqueName="[Absencje].[ID_Absencji].[All]" dimensionUniqueName="[Absencje]" displayFolder="" count="0" memberValueDatatype="20" unbalanced="0"/>
    <cacheHierarchy uniqueName="[Absencje].[ID_Pracownika]" caption="ID_Pracownika" attribute="1" defaultMemberUniqueName="[Absencje].[ID_Pracownika].[All]" allUniqueName="[Absencje].[ID_Pracownika].[All]" dimensionUniqueName="[Absencje]" displayFolder="" count="0" memberValueDatatype="20" unbalanced="0"/>
    <cacheHierarchy uniqueName="[Absencje].[Data_od]" caption="Data_od" attribute="1" time="1" defaultMemberUniqueName="[Absencje].[Data_od].[All]" allUniqueName="[Absencje].[Data_od].[All]" dimensionUniqueName="[Absencje]" displayFolder="" count="0" memberValueDatatype="7" unbalanced="0"/>
    <cacheHierarchy uniqueName="[Absencje].[Data_do]" caption="Data_do" attribute="1" time="1" defaultMemberUniqueName="[Absencje].[Data_do].[All]" allUniqueName="[Absencje].[Data_do].[All]" dimensionUniqueName="[Absencje]" displayFolder="" count="0" memberValueDatatype="7" unbalanced="0"/>
    <cacheHierarchy uniqueName="[Absencje].[Typ_absencji]" caption="Typ_absencji" attribute="1" defaultMemberUniqueName="[Absencje].[Typ_absencji].[All]" allUniqueName="[Absencje].[Typ_absencji].[All]" dimensionUniqueName="[Absencje]" displayFolder="" count="0" memberValueDatatype="130" unbalanced="0"/>
    <cacheHierarchy uniqueName="[Absencje].[Liczba_dni]" caption="Liczba_dni" attribute="1" defaultMemberUniqueName="[Absencje].[Liczba_dni].[All]" allUniqueName="[Absencje].[Liczba_dni].[All]" dimensionUniqueName="[Absencje]" displayFolder="" count="0" memberValueDatatype="20" unbalanced="0"/>
    <cacheHierarchy uniqueName="[Działy].[ID_Dzialu]" caption="ID_Dzialu" attribute="1" defaultMemberUniqueName="[Działy].[ID_Dzialu].[All]" allUniqueName="[Działy].[ID_Dzialu].[All]" dimensionUniqueName="[Działy]" displayFolder="" count="0" memberValueDatatype="20" unbalanced="0"/>
    <cacheHierarchy uniqueName="[Działy].[Nazwa_Dzialu]" caption="Nazwa_Dzialu" attribute="1" defaultMemberUniqueName="[Działy].[Nazwa_Dzialu].[All]" allUniqueName="[Działy].[Nazwa_Dzialu].[All]" dimensionUniqueName="[Działy]" displayFolder="" count="2" memberValueDatatype="130" unbalanced="0"/>
    <cacheHierarchy uniqueName="[Działy].[Lokalizacja]" caption="Lokalizacja" attribute="1" defaultMemberUniqueName="[Działy].[Lokalizacja].[All]" allUniqueName="[Działy].[Lokalizacja].[All]" dimensionUniqueName="[Działy]" displayFolder="" count="0" memberValueDatatype="130" unbalanced="0"/>
    <cacheHierarchy uniqueName="[Kalendarz].[Data]" caption="Data" attribute="1" time="1" defaultMemberUniqueName="[Kalendarz].[Data].[All]" allUniqueName="[Kalendarz].[Data].[All]" dimensionUniqueName="[Kalendarz]" displayFolder="" count="0" memberValueDatatype="7" unbalanced="0"/>
    <cacheHierarchy uniqueName="[Kalendarz].[Rok]" caption="Rok" attribute="1" defaultMemberUniqueName="[Kalendarz].[Rok].[All]" allUniqueName="[Kalendarz].[Rok].[All]" dimensionUniqueName="[Kalendarz]" displayFolder="" count="2" memberValueDatatype="20" unbalanced="0"/>
    <cacheHierarchy uniqueName="[Kalendarz].[Nazwa miesiąca]" caption="Nazwa miesiąca" attribute="1" defaultMemberUniqueName="[Kalendarz].[Nazwa miesiąca].[All]" allUniqueName="[Kalendarz].[Nazwa miesiąca].[All]" dimensionUniqueName="[Kalendarz]" displayFolder="" count="2" memberValueDatatype="130" unbalanced="0"/>
    <cacheHierarchy uniqueName="[Kalendarz].[Miesiąc]" caption="Miesiąc" attribute="1" defaultMemberUniqueName="[Kalendarz].[Miesiąc].[All]" allUniqueName="[Kalendarz].[Miesiąc].[All]" dimensionUniqueName="[Kalendarz]" displayFolder="" count="0" memberValueDatatype="20" unbalanced="0"/>
    <cacheHierarchy uniqueName="[Kalendarz].[Kwartał]" caption="Kwartał" attribute="1" defaultMemberUniqueName="[Kalendarz].[Kwartał].[All]" allUniqueName="[Kalendarz].[Kwartał].[All]" dimensionUniqueName="[Kalendarz]" displayFolder="" count="0" memberValueDatatype="20" unbalanced="0"/>
    <cacheHierarchy uniqueName="[Kalendarz].[Dzień tygodnia]" caption="Dzień tygodnia" attribute="1" defaultMemberUniqueName="[Kalendarz].[Dzień tygodnia].[All]" allUniqueName="[Kalendarz].[Dzień tygodnia].[All]" dimensionUniqueName="[Kalendarz]" displayFolder="" count="0" memberValueDatatype="20" unbalanced="0"/>
    <cacheHierarchy uniqueName="[Kalendarz].[Nazwa dnia]" caption="Nazwa dnia" attribute="1" defaultMemberUniqueName="[Kalendarz].[Nazwa dnia].[All]" allUniqueName="[Kalendarz].[Nazwa dnia].[All]" dimensionUniqueName="[Kalendarz]" displayFolder="" count="0" memberValueDatatype="130" unbalanced="0"/>
    <cacheHierarchy uniqueName="[Pracownicy].[ID_Pracownika]" caption="ID_Pracownika" attribute="1" defaultMemberUniqueName="[Pracownicy].[ID_Pracownika].[All]" allUniqueName="[Pracownicy].[ID_Pracownika].[All]" dimensionUniqueName="[Pracownicy]" displayFolder="" count="0" memberValueDatatype="20" unbalanced="0"/>
    <cacheHierarchy uniqueName="[Pracownicy].[Imie_Nazwisko]" caption="Imie_Nazwisko" attribute="1" defaultMemberUniqueName="[Pracownicy].[Imie_Nazwisko].[All]" allUniqueName="[Pracownicy].[Imie_Nazwisko].[All]" dimensionUniqueName="[Pracownicy]" displayFolder="" count="0" memberValueDatatype="130" unbalanced="0"/>
    <cacheHierarchy uniqueName="[Pracownicy].[Plec]" caption="Plec" attribute="1" defaultMemberUniqueName="[Pracownicy].[Plec].[All]" allUniqueName="[Pracownicy].[Plec].[All]" dimensionUniqueName="[Pracownicy]" displayFolder="" count="0" memberValueDatatype="130" unbalanced="0"/>
    <cacheHierarchy uniqueName="[Pracownicy].[Data_urodzenia]" caption="Data_urodzenia" attribute="1" time="1" defaultMemberUniqueName="[Pracownicy].[Data_urodzenia].[All]" allUniqueName="[Pracownicy].[Data_urodzenia].[All]" dimensionUniqueName="[Pracownicy]" displayFolder="" count="0" memberValueDatatype="7" unbalanced="0"/>
    <cacheHierarchy uniqueName="[Pracownicy].[Data_zatrudnienia]" caption="Data_zatrudnienia" attribute="1" time="1" defaultMemberUniqueName="[Pracownicy].[Data_zatrudnienia].[All]" allUniqueName="[Pracownicy].[Data_zatrudnienia].[All]" dimensionUniqueName="[Pracownicy]" displayFolder="" count="0" memberValueDatatype="7" unbalanced="0"/>
    <cacheHierarchy uniqueName="[Pracownicy].[Data_zwolnienia]" caption="Data_zwolnienia" attribute="1" time="1" defaultMemberUniqueName="[Pracownicy].[Data_zwolnienia].[All]" allUniqueName="[Pracownicy].[Data_zwolnienia].[All]" dimensionUniqueName="[Pracownicy]" displayFolder="" count="0" memberValueDatatype="7" unbalanced="0"/>
    <cacheHierarchy uniqueName="[Pracownicy].[Stanowisko]" caption="Stanowisko" attribute="1" defaultMemberUniqueName="[Pracownicy].[Stanowisko].[All]" allUniqueName="[Pracownicy].[Stanowisko].[All]" dimensionUniqueName="[Pracownicy]" displayFolder="" count="2" memberValueDatatype="130" unbalanced="0"/>
    <cacheHierarchy uniqueName="[Pracownicy].[Tryb_pracy]" caption="Tryb_pracy" attribute="1" defaultMemberUniqueName="[Pracownicy].[Tryb_pracy].[All]" allUniqueName="[Pracownicy].[Tryb_pracy].[All]" dimensionUniqueName="[Pracownicy]" displayFolder="" count="0" memberValueDatatype="130" unbalanced="0"/>
    <cacheHierarchy uniqueName="[Pracownicy].[ID_Dzialu]" caption="ID_Dzialu" attribute="1" defaultMemberUniqueName="[Pracownicy].[ID_Dzialu].[All]" allUniqueName="[Pracownicy].[ID_Dzialu].[All]" dimensionUniqueName="[Pracownicy]" displayFolder="" count="0" memberValueDatatype="20" unbalanced="0"/>
    <cacheHierarchy uniqueName="[Wynagrodzenia].[Rok]" caption="Rok" attribute="1" defaultMemberUniqueName="[Wynagrodzenia].[Rok].[All]" allUniqueName="[Wynagrodzenia].[Rok].[All]" dimensionUniqueName="[Wynagrodzenia]" displayFolder="" count="0" memberValueDatatype="20" unbalanced="0"/>
    <cacheHierarchy uniqueName="[Wynagrodzenia].[ID_Pracownika]" caption="ID_Pracownika" attribute="1" defaultMemberUniqueName="[Wynagrodzenia].[ID_Pracownika].[All]" allUniqueName="[Wynagrodzenia].[ID_Pracownika].[All]" dimensionUniqueName="[Wynagrodzenia]" displayFolder="" count="0" memberValueDatatype="20" unbalanced="0"/>
    <cacheHierarchy uniqueName="[Wynagrodzenia].[Data]" caption="Data" attribute="1" time="1" defaultMemberUniqueName="[Wynagrodzenia].[Data].[All]" allUniqueName="[Wynagrodzenia].[Data].[All]" dimensionUniqueName="[Wynagrodzenia]" displayFolder="" count="0" memberValueDatatype="7" unbalanced="0"/>
    <cacheHierarchy uniqueName="[Wynagrodzenia].[Wynagrodzenie_brutto]" caption="Wynagrodzenie_brutto" attribute="1" defaultMemberUniqueName="[Wynagrodzenia].[Wynagrodzenie_brutto].[All]" allUniqueName="[Wynagrodzenia].[Wynagrodzenie_brutto].[All]" dimensionUniqueName="[Wynagrodzenia]" displayFolder="" count="0" memberValueDatatype="5" unbalanced="0"/>
    <cacheHierarchy uniqueName="[Wynagrodzenia].[Premia]" caption="Premia" attribute="1" defaultMemberUniqueName="[Wynagrodzenia].[Premia].[All]" allUniqueName="[Wynagrodzenia].[Premia].[All]" dimensionUniqueName="[Wynagrodzenia]" displayFolder="" count="0" memberValueDatatype="5" unbalanced="0"/>
    <cacheHierarchy uniqueName="[Wynagrodzenia].[Wynagrodzenie_calkowite]" caption="Wynagrodzenie_calkowite" attribute="1" defaultMemberUniqueName="[Wynagrodzenia].[Wynagrodzenie_calkowite].[All]" allUniqueName="[Wynagrodzenia].[Wynagrodzenie_calkowite].[All]" dimensionUniqueName="[Wynagrodzenia]" displayFolder="" count="0" memberValueDatatype="5" unbalanced="0"/>
    <cacheHierarchy uniqueName="[Measures].[Liczba Nazwa_Dzialu]" caption="Liczba Nazwa_Dzialu" measure="1" displayFolder="" measureGroup="Działy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Rok]" caption="Suma Rok" measure="1" displayFolder="" measureGroup="Kalendarz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Liczba_zatrudnionych_pracownikow]" caption="Liczba_zatrudnionych_pracownikow" measure="1" displayFolder="" measureGroup="Pracownicy" count="0"/>
    <cacheHierarchy uniqueName="[Measures].[Nowozatrudnieni_w_okresie]" caption="Nowozatrudnieni_w_okresie" measure="1" displayFolder="" measureGroup="Pracownicy" count="0"/>
    <cacheHierarchy uniqueName="[Measures].[Zwolnieni_w_okresie]" caption="Zwolnieni_w_okresie" measure="1" displayFolder="" measureGroup="Pracownicy" count="0"/>
    <cacheHierarchy uniqueName="[Measures].[Wskaznik_rotacji_proc]" caption="Wskaznik_rotacji_proc" measure="1" displayFolder="" measureGroup="Pracownicy" count="0"/>
    <cacheHierarchy uniqueName="[Measures].[Sredni_staz_lata]" caption="Sredni_staz_lata" measure="1" displayFolder="" measureGroup="Pracownicy" count="0"/>
    <cacheHierarchy uniqueName="[Measures].[Suma_wynagrodzen]" caption="Suma_wynagrodzen" measure="1" displayFolder="" measureGroup="Pracownicy" count="0"/>
    <cacheHierarchy uniqueName="[Measures].[Srednie_wynagrodzenie]" caption="Srednie_wynagrodzenie" measure="1" displayFolder="" measureGroup="Pracownicy" count="0"/>
    <cacheHierarchy uniqueName="[Measures].[Dni_absencji]" caption="Dni_absencji" measure="1" displayFolder="" measureGroup="Pracownicy" count="0"/>
    <cacheHierarchy uniqueName="[Measures].[Dni_absencji_na_pracownika]" caption="Dni_absencji_na_pracownika" measure="1" displayFolder="" measureGroup="Pracownicy" count="0"/>
    <cacheHierarchy uniqueName="[Measures].[__XL_Count Pracownicy]" caption="__XL_Count Pracownicy" measure="1" displayFolder="" measureGroup="Pracownicy" count="0" hidden="1"/>
    <cacheHierarchy uniqueName="[Measures].[__XL_Count Działy]" caption="__XL_Count Działy" measure="1" displayFolder="" measureGroup="Działy" count="0" hidden="1"/>
    <cacheHierarchy uniqueName="[Measures].[__XL_Count Absencje]" caption="__XL_Count Absencje" measure="1" displayFolder="" measureGroup="Absencje" count="0" hidden="1"/>
    <cacheHierarchy uniqueName="[Measures].[__XL_Count Wynagrodzenia]" caption="__XL_Count Wynagrodzenia" measure="1" displayFolder="" measureGroup="Wynagrodzenia" count="0" hidden="1"/>
    <cacheHierarchy uniqueName="[Measures].[__XL_Count Kalendarz]" caption="__XL_Count Kalendarz" measure="1" displayFolder="" measureGroup="Kalendarz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982901560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E74A6D-6EDA-47A3-9AAC-82F0D6F83F9E}" name="Dane HR/kadry" cacheId="251" applyNumberFormats="0" applyBorderFormats="0" applyFontFormats="0" applyPatternFormats="0" applyAlignmentFormats="0" applyWidthHeightFormats="1" dataCaption="Wartości" tag="cf754d37-9951-47e9-b573-0787fdd321d8" updatedVersion="8" minRefreshableVersion="3" useAutoFormatting="1" subtotalHiddenItems="1" itemPrintTitles="1" createdVersion="8" indent="0" outline="1" outlineData="1" multipleFieldFilters="0">
  <location ref="V3:Z4" firstHeaderRow="0" firstDataRow="1" firstDataCol="0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fld="1" subtotal="count" baseField="0" baseItem="0" numFmtId="9"/>
    <dataField fld="2" subtotal="count" baseField="0" baseItem="0" numFmtId="164"/>
    <dataField fld="3" subtotal="count" baseField="0" baseItem="0" numFmtId="165"/>
    <dataField fld="4" subtotal="count" baseField="0" baseItem="0" numFmtId="1"/>
  </dataFields>
  <formats count="4">
    <format dxfId="7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68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4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acownic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B980E2-C2AF-48D3-B62C-7AA8BB5D8118}" name="Absencje wg typu i działu" cacheId="248" applyNumberFormats="0" applyBorderFormats="0" applyFontFormats="0" applyPatternFormats="0" applyAlignmentFormats="0" applyWidthHeightFormats="1" dataCaption="Wartości" tag="8fb7a1ef-4152-4a2d-b7fc-f57f0c297d3a" updatedVersion="8" minRefreshableVersion="3" useAutoFormatting="1" subtotalHiddenItems="1" itemPrintTitles="1" createdVersion="8" indent="0" outline="1" outlineData="1" multipleFieldFilters="0" chartFormat="3">
  <location ref="L3:T10" firstHeaderRow="1" firstDataRow="2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fld="2" subtotal="count" baseField="0" baseItem="0"/>
  </dataFields>
  <chartFormats count="7"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4" showRowHeaders="1" showColHeaders="1" showRowStripes="0" showColStripes="0" showLastColumn="1"/>
  <rowHierarchiesUsage count="1">
    <rowHierarchyUsage hierarchyUsage="4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bsencje]"/>
        <x15:activeTabTopLevelEntity name="[Działy]"/>
        <x15:activeTabTopLevelEntity name="[Pracownic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4CCC0-52E7-4230-921F-B933AF9BB201}" name="Wynagrodzenia wg działu i stanowiska" cacheId="260" applyNumberFormats="0" applyBorderFormats="0" applyFontFormats="0" applyPatternFormats="0" applyAlignmentFormats="0" applyWidthHeightFormats="1" dataCaption="Wartości" tag="8ce3e616-dd8a-4831-99b7-3e280825bdb9" updatedVersion="8" minRefreshableVersion="3" useAutoFormatting="1" subtotalHiddenItems="1" itemPrintTitles="1" createdVersion="8" indent="0" outline="1" outlineData="1" multipleFieldFilters="0" chartFormat="6">
  <location ref="I3:J33" firstHeaderRow="1" firstDataRow="1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dataSourceSort="1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dataField="1" subtotalTop="0" showAll="0" defaultSubtotal="0"/>
  </pivotFields>
  <rowFields count="2">
    <field x="0"/>
    <field x="1"/>
  </rowFields>
  <rowItems count="30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>
      <x v="2"/>
    </i>
    <i r="1">
      <x v="6"/>
    </i>
    <i r="1">
      <x v="7"/>
    </i>
    <i r="1">
      <x v="8"/>
    </i>
    <i r="1">
      <x v="9"/>
    </i>
    <i>
      <x v="3"/>
    </i>
    <i r="1">
      <x v="10"/>
    </i>
    <i r="1">
      <x v="11"/>
    </i>
    <i r="1">
      <x v="12"/>
    </i>
    <i>
      <x v="4"/>
    </i>
    <i r="1">
      <x v="13"/>
    </i>
    <i r="1">
      <x v="14"/>
    </i>
    <i r="1">
      <x v="15"/>
    </i>
    <i>
      <x v="5"/>
    </i>
    <i r="1">
      <x v="16"/>
    </i>
    <i r="1">
      <x v="17"/>
    </i>
    <i r="1">
      <x v="18"/>
    </i>
    <i>
      <x v="6"/>
    </i>
    <i r="1">
      <x v="19"/>
    </i>
    <i r="1">
      <x v="20"/>
    </i>
    <i r="1">
      <x v="21"/>
    </i>
    <i t="grand">
      <x/>
    </i>
  </rowItems>
  <colItems count="1">
    <i/>
  </colItems>
  <dataFields count="1">
    <dataField fld="2" subtotal="count" baseField="0" baseItem="0" numFmtId="42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4" showRowHeaders="1" showColHeaders="1" showRowStripes="0" showColStripes="0" showLastColumn="1"/>
  <rowHierarchiesUsage count="2">
    <rowHierarchyUsage hierarchyUsage="7"/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Działy]"/>
        <x15:activeTabTopLevelEntity name="[Pracownicy]"/>
        <x15:activeTabTopLevelEntity name="[Kalendarz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2A9204-FB63-4A1F-B202-2667D1A0E7D9}" name="Rotacja wg działu" cacheId="257" applyNumberFormats="0" applyBorderFormats="0" applyFontFormats="0" applyPatternFormats="0" applyAlignmentFormats="0" applyWidthHeightFormats="1" dataCaption="Wartości" tag="3e948429-c12d-4446-acce-cb227649e208" updatedVersion="8" minRefreshableVersion="3" subtotalHiddenItems="1" itemPrintTitles="1" createdVersion="8" indent="0" outline="1" outlineData="1" multipleFieldFilters="0" chartFormat="10">
  <location ref="F3:G11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llDrilled="1" subtotalTop="0" showAll="0" dataSourceSort="1" defaultSubtotal="0" defaultAttributeDrillState="1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0" subtotal="count" baseField="0" baseItem="0" numFmtId="10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4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Działy]"/>
        <x15:activeTabTopLevelEntity name="[Pracownicy]"/>
        <x15:activeTabTopLevelEntity name="[Kalendarz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BEF86-D6C7-4DE4-B1D4-89668193CBA3}" name="Liczba zatrudnionych pracowników w czasie" cacheId="254" applyNumberFormats="0" applyBorderFormats="0" applyFontFormats="0" applyPatternFormats="0" applyAlignmentFormats="0" applyWidthHeightFormats="1" dataCaption="Wartości" tag="d25573c2-2fee-42fe-acfd-37a7c0f35ad5" updatedVersion="8" minRefreshableVersion="3" useAutoFormatting="1" subtotalHiddenItems="1" itemPrintTitles="1" createdVersion="8" indent="0" outline="1" outlineData="1" multipleFieldFilters="0" chartFormat="14">
  <location ref="A3:D7" firstHeaderRow="0" firstDataRow="1" firstDataCol="1"/>
  <pivotFields count="6">
    <pivotField axis="axisRow" allDrilled="1" subtotalTop="0" showAll="0" sortType="ascending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sortType="ascending" defaultSubtotal="0" defaultAttributeDrillState="1">
      <items count="12">
        <item x="10"/>
        <item x="5"/>
        <item x="7"/>
        <item x="2"/>
        <item x="6"/>
        <item x="0"/>
        <item x="3"/>
        <item x="9"/>
        <item x="11"/>
        <item x="8"/>
        <item x="4"/>
        <item x="1"/>
      </items>
    </pivotField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4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Kalendarz]"/>
        <x15:activeTabTopLevelEntity name="[Pracownicy]"/>
        <x15:activeTabTopLevelEntity name="[Dział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Rok" xr10:uid="{F2B86A56-C04E-4D2C-9891-3EEF23218E62}" sourceName="[Kalendarz].[Rok]">
  <pivotTables>
    <pivotTable tabId="1" name="Absencje wg typu i działu"/>
    <pivotTable tabId="1" name="Dane HR/kadry"/>
    <pivotTable tabId="1" name="Liczba zatrudnionych pracowników w czasie"/>
    <pivotTable tabId="1" name="Rotacja wg działu"/>
    <pivotTable tabId="1" name="Wynagrodzenia wg działu i stanowiska"/>
  </pivotTables>
  <data>
    <olap pivotCacheId="1982901560">
      <levels count="2">
        <level uniqueName="[Kalendarz].[Rok].[(All)]" sourceCaption="(All)" count="0"/>
        <level uniqueName="[Kalendarz].[Rok].[Rok]" sourceCaption="Rok" count="3">
          <ranges>
            <range startItem="0">
              <i n="[Kalendarz].[Rok].&amp;[2023]" c="2023"/>
              <i n="[Kalendarz].[Rok].&amp;[2024]" c="2024"/>
              <i n="[Kalendarz].[Rok].&amp;[2025]" c="2025"/>
            </range>
          </ranges>
        </level>
      </levels>
      <selections count="1">
        <selection n="[Kalendarz].[Rok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Nazwa_Dzialu" xr10:uid="{04740340-2EE6-40E7-A998-D30739C88CC5}" sourceName="[Działy].[Nazwa_Dzialu]">
  <pivotTables>
    <pivotTable tabId="1" name="Absencje wg typu i działu"/>
    <pivotTable tabId="1" name="Dane HR/kadry"/>
    <pivotTable tabId="1" name="Liczba zatrudnionych pracowników w czasie"/>
    <pivotTable tabId="1" name="Rotacja wg działu"/>
    <pivotTable tabId="1" name="Wynagrodzenia wg działu i stanowiska"/>
  </pivotTables>
  <data>
    <olap pivotCacheId="1982901560">
      <levels count="2">
        <level uniqueName="[Działy].[Nazwa_Dzialu].[(All)]" sourceCaption="(All)" count="0"/>
        <level uniqueName="[Działy].[Nazwa_Dzialu].[Nazwa_Dzialu]" sourceCaption="Nazwa_Dzialu" count="7">
          <ranges>
            <range startItem="0">
              <i n="[Działy].[Nazwa_Dzialu].&amp;[Finanse]" c="Finanse"/>
              <i n="[Działy].[Nazwa_Dzialu].&amp;[HR]" c="HR"/>
              <i n="[Działy].[Nazwa_Dzialu].&amp;[IT]" c="IT"/>
              <i n="[Działy].[Nazwa_Dzialu].&amp;[Logistyka]" c="Logistyka"/>
              <i n="[Działy].[Nazwa_Dzialu].&amp;[Marketing]" c="Marketing"/>
              <i n="[Działy].[Nazwa_Dzialu].&amp;[Obsługa Klienta]" c="Obsługa Klienta"/>
              <i n="[Działy].[Nazwa_Dzialu].&amp;[Sprzedaż]" c="Sprzedaż"/>
            </range>
          </ranges>
        </level>
      </levels>
      <selections count="1">
        <selection n="[Działy].[Nazwa_Dzialu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Stanowisko" xr10:uid="{5061F4BF-11AB-45C6-A9B3-383A32C117EE}" sourceName="[Pracownicy].[Stanowisko]">
  <pivotTables>
    <pivotTable tabId="1" name="Absencje wg typu i działu"/>
    <pivotTable tabId="1" name="Dane HR/kadry"/>
    <pivotTable tabId="1" name="Liczba zatrudnionych pracowników w czasie"/>
    <pivotTable tabId="1" name="Rotacja wg działu"/>
    <pivotTable tabId="1" name="Wynagrodzenia wg działu i stanowiska"/>
  </pivotTables>
  <data>
    <olap pivotCacheId="1982901560">
      <levels count="2">
        <level uniqueName="[Pracownicy].[Stanowisko].[(All)]" sourceCaption="(All)" count="0"/>
        <level uniqueName="[Pracownicy].[Stanowisko].[Stanowisko]" sourceCaption="Stanowisko" count="22">
          <ranges>
            <range startItem="0">
              <i n="[Pracownicy].[Stanowisko].&amp;[Administrator systemów]" c="Administrator systemów"/>
              <i n="[Pracownicy].[Stanowisko].&amp;[Analityk danych]" c="Analityk danych"/>
              <i n="[Pracownicy].[Stanowisko].&amp;[Analityk marketingowy]" c="Analityk marketingowy"/>
              <i n="[Pracownicy].[Stanowisko].&amp;[HR Business Partner]" c="HR Business Partner"/>
              <i n="[Pracownicy].[Stanowisko].&amp;[Kierownik IT]" c="Kierownik IT"/>
              <i n="[Pracownicy].[Stanowisko].&amp;[Kierownik magazynu]" c="Kierownik magazynu"/>
              <i n="[Pracownicy].[Stanowisko].&amp;[Kierownik marketingu]" c="Kierownik marketingu"/>
              <i n="[Pracownicy].[Stanowisko].&amp;[Kierownik sprzedaży]" c="Kierownik sprzedaży"/>
              <i n="[Pracownicy].[Stanowisko].&amp;[Kierownik zespołu]" c="Kierownik zespołu"/>
              <i n="[Pracownicy].[Stanowisko].&amp;[Konsultant]" c="Konsultant"/>
              <i n="[Pracownicy].[Stanowisko].&amp;[Kontroler finansowy]" c="Kontroler finansowy"/>
              <i n="[Pracownicy].[Stanowisko].&amp;[Księgowy]" c="Księgowy"/>
              <i n="[Pracownicy].[Stanowisko].&amp;[Magazynier]" c="Magazynier"/>
              <i n="[Pracownicy].[Stanowisko].&amp;[Programista]" c="Programista"/>
              <i n="[Pracownicy].[Stanowisko].&amp;[Rekruter]" c="Rekruter"/>
              <i n="[Pracownicy].[Stanowisko].&amp;[Specjalista ds. finansów]" c="Specjalista ds. finansów"/>
              <i n="[Pracownicy].[Stanowisko].&amp;[Specjalista ds. HR]" c="Specjalista ds. HR"/>
              <i n="[Pracownicy].[Stanowisko].&amp;[Specjalista ds. logistyki]" c="Specjalista ds. logistyki"/>
              <i n="[Pracownicy].[Stanowisko].&amp;[Specjalista ds. marketingu]" c="Specjalista ds. marketingu"/>
              <i n="[Pracownicy].[Stanowisko].&amp;[Specjalista ds. sprzedaży]" c="Specjalista ds. sprzedaży"/>
              <i n="[Pracownicy].[Stanowisko].&amp;[Starszy konsultant]" c="Starszy konsultant"/>
              <i n="[Pracownicy].[Stanowisko].&amp;[Starszy specjalista ds. sprzedaży]" c="Starszy specjalista ds. sprzedaży"/>
            </range>
          </ranges>
        </level>
      </levels>
      <selections count="1">
        <selection n="[Pracownicy].[Stanowisko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Nazwa_miesiąca" xr10:uid="{9E418816-7C77-4505-A98D-7B0C569F8C48}" sourceName="[Kalendarz].[Nazwa miesiąca]">
  <pivotTables>
    <pivotTable tabId="1" name="Absencje wg typu i działu"/>
    <pivotTable tabId="1" name="Dane HR/kadry"/>
    <pivotTable tabId="1" name="Liczba zatrudnionych pracowników w czasie"/>
    <pivotTable tabId="1" name="Rotacja wg działu"/>
    <pivotTable tabId="1" name="Wynagrodzenia wg działu i stanowiska"/>
  </pivotTables>
  <data>
    <olap pivotCacheId="1982901560">
      <levels count="2">
        <level uniqueName="[Kalendarz].[Nazwa miesiąca].[(All)]" sourceCaption="(All)" count="0"/>
        <level uniqueName="[Kalendarz].[Nazwa miesiąca].[Nazwa miesiąca]" sourceCaption="Nazwa miesiąca" count="12">
          <ranges>
            <range startItem="0">
              <i n="[Kalendarz].[Nazwa miesiąca].&amp;[styczeń]" c="styczeń"/>
              <i n="[Kalendarz].[Nazwa miesiąca].&amp;[luty]" c="luty"/>
              <i n="[Kalendarz].[Nazwa miesiąca].&amp;[marzec]" c="marzec"/>
              <i n="[Kalendarz].[Nazwa miesiąca].&amp;[kwiecień]" c="kwiecień"/>
              <i n="[Kalendarz].[Nazwa miesiąca].&amp;[maj]" c="maj"/>
              <i n="[Kalendarz].[Nazwa miesiąca].&amp;[czerwiec]" c="czerwiec"/>
              <i n="[Kalendarz].[Nazwa miesiąca].&amp;[lipiec]" c="lipiec"/>
              <i n="[Kalendarz].[Nazwa miesiąca].&amp;[sierpień]" c="sierpień"/>
              <i n="[Kalendarz].[Nazwa miesiąca].&amp;[wrzesień]" c="wrzesień"/>
              <i n="[Kalendarz].[Nazwa miesiąca].&amp;[październik]" c="październik"/>
              <i n="[Kalendarz].[Nazwa miesiąca].&amp;[listopad]" c="listopad"/>
              <i n="[Kalendarz].[Nazwa miesiąca].&amp;[grudzień]" c="grudzień"/>
            </range>
          </ranges>
        </level>
      </levels>
      <selections count="1">
        <selection n="[Kalendarz].[Nazwa miesiąca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ok 1" xr10:uid="{4CECF893-72D6-4A03-9DFF-999950264FE9}" cache="Fragmentator_Rok" caption="Rok" showCaption="0" level="1" lockedPosition="1" rowHeight="257175"/>
  <slicer name="Nazwa_Dzialu 1" xr10:uid="{D2707A4B-53AE-455F-930D-6A54B50A1BED}" cache="Fragmentator_Nazwa_Dzialu" caption="Nazwa_Dzialu" showCaption="0" level="1" lockedPosition="1" rowHeight="257175"/>
  <slicer name="Stanowisko 2" xr10:uid="{7A33B5CD-350D-4335-9E43-DB125949A8FD}" cache="Fragmentator_Stanowisko" caption="Stanowisko" columnCount="2" showCaption="0" level="1" lockedPosition="1" rowHeight="257175"/>
  <slicer name="Nazwa miesiąca 1" xr10:uid="{67DD30AF-A383-411C-A88D-C8612ECBB0B0}" cache="Fragmentator_Nazwa_miesiąca" caption="Nazwa miesiąca" showCaption="0" level="1" lockedPosition="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082FE9-04E9-4C17-B874-BA5BEF523FB8}" name="Ścieżka" displayName="Ścieżka" ref="A1:A2" totalsRowShown="0">
  <autoFilter ref="A1:A2" xr:uid="{AE082FE9-04E9-4C17-B874-BA5BEF523FB8}"/>
  <tableColumns count="1">
    <tableColumn id="1" xr3:uid="{CD48E981-F886-4F1B-B35C-F6F8848AAFE9}" name="Ścieżka">
      <calculatedColumnFormula array="1">LEFT(CELL("nazwa_pliku"),FIND("[",CELL("nazwa_pliku"))-1)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E2D7C2-F360-459B-A38B-FD678043C584}" name="Plik_źródłowy" displayName="Plik_źródłowy" ref="A4:A5" totalsRowShown="0">
  <autoFilter ref="A4:A5" xr:uid="{E2E2D7C2-F360-459B-A38B-FD678043C584}"/>
  <tableColumns count="1">
    <tableColumn id="1" xr3:uid="{BC1BD4A9-84A8-4F90-BAA5-BD350E030C26}" name="Plik źródłow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89A49-2C56-4F8A-B483-24F051A44744}">
  <dimension ref="X27"/>
  <sheetViews>
    <sheetView showGridLines="0" tabSelected="1" topLeftCell="A26" zoomScaleNormal="100" workbookViewId="0">
      <selection activeCell="Z50" sqref="Z50"/>
    </sheetView>
  </sheetViews>
  <sheetFormatPr defaultRowHeight="15" x14ac:dyDescent="0.25"/>
  <sheetData>
    <row r="27" spans="24:24" x14ac:dyDescent="0.25">
      <c r="X27" s="11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9E522-0083-4659-8FDF-C5409B78010B}">
  <dimension ref="A3:Z33"/>
  <sheetViews>
    <sheetView workbookViewId="0">
      <selection activeCell="Z42" sqref="Z42"/>
    </sheetView>
  </sheetViews>
  <sheetFormatPr defaultRowHeight="15" x14ac:dyDescent="0.25"/>
  <cols>
    <col min="1" max="1" width="17.85546875" bestFit="1" customWidth="1"/>
    <col min="2" max="2" width="33.42578125" bestFit="1" customWidth="1"/>
    <col min="3" max="3" width="26.7109375" customWidth="1"/>
    <col min="4" max="4" width="19.85546875" customWidth="1"/>
    <col min="5" max="5" width="3.7109375" customWidth="1"/>
    <col min="6" max="6" width="17.85546875" bestFit="1" customWidth="1"/>
    <col min="7" max="7" width="21.140625" bestFit="1" customWidth="1"/>
    <col min="8" max="8" width="3.7109375" customWidth="1"/>
    <col min="9" max="9" width="34" bestFit="1" customWidth="1"/>
    <col min="10" max="10" width="22.7109375" bestFit="1" customWidth="1"/>
    <col min="11" max="11" width="3.7109375" customWidth="1"/>
    <col min="12" max="12" width="21.140625" bestFit="1" customWidth="1"/>
    <col min="13" max="13" width="17.85546875" bestFit="1" customWidth="1"/>
    <col min="14" max="15" width="4" bestFit="1" customWidth="1"/>
    <col min="16" max="16" width="9.42578125" bestFit="1" customWidth="1"/>
    <col min="17" max="17" width="9.85546875" bestFit="1" customWidth="1"/>
    <col min="18" max="18" width="15.140625" bestFit="1" customWidth="1"/>
    <col min="19" max="19" width="9" bestFit="1" customWidth="1"/>
    <col min="20" max="20" width="14.42578125" bestFit="1" customWidth="1"/>
    <col min="22" max="22" width="33.42578125" bestFit="1" customWidth="1"/>
    <col min="23" max="23" width="21.140625" bestFit="1" customWidth="1"/>
    <col min="24" max="24" width="15.5703125" bestFit="1" customWidth="1"/>
    <col min="25" max="25" width="22.7109375" bestFit="1" customWidth="1"/>
    <col min="26" max="26" width="27.140625" bestFit="1" customWidth="1"/>
  </cols>
  <sheetData>
    <row r="3" spans="1:26" x14ac:dyDescent="0.25">
      <c r="A3" s="1" t="s">
        <v>0</v>
      </c>
      <c r="B3" t="s">
        <v>37</v>
      </c>
      <c r="C3" t="s">
        <v>2</v>
      </c>
      <c r="D3" t="s">
        <v>3</v>
      </c>
      <c r="F3" s="1" t="s">
        <v>0</v>
      </c>
      <c r="G3" t="s">
        <v>10</v>
      </c>
      <c r="I3" s="1" t="s">
        <v>0</v>
      </c>
      <c r="J3" t="s">
        <v>29</v>
      </c>
      <c r="L3" s="1" t="s">
        <v>36</v>
      </c>
      <c r="M3" s="1" t="s">
        <v>35</v>
      </c>
      <c r="V3" t="s">
        <v>37</v>
      </c>
      <c r="W3" t="s">
        <v>10</v>
      </c>
      <c r="X3" t="s">
        <v>38</v>
      </c>
      <c r="Y3" t="s">
        <v>29</v>
      </c>
      <c r="Z3" t="s">
        <v>39</v>
      </c>
    </row>
    <row r="4" spans="1:26" x14ac:dyDescent="0.25">
      <c r="A4" s="2">
        <v>2023</v>
      </c>
      <c r="B4" s="12">
        <v>106</v>
      </c>
      <c r="C4" s="12">
        <v>23</v>
      </c>
      <c r="D4" s="12">
        <v>10</v>
      </c>
      <c r="F4" s="2" t="s">
        <v>4</v>
      </c>
      <c r="G4" s="5">
        <v>6.25E-2</v>
      </c>
      <c r="I4" s="2" t="s">
        <v>4</v>
      </c>
      <c r="J4" s="6"/>
      <c r="L4" s="1" t="s">
        <v>0</v>
      </c>
      <c r="M4" t="s">
        <v>4</v>
      </c>
      <c r="N4" t="s">
        <v>5</v>
      </c>
      <c r="O4" t="s">
        <v>6</v>
      </c>
      <c r="P4" t="s">
        <v>43</v>
      </c>
      <c r="Q4" t="s">
        <v>7</v>
      </c>
      <c r="R4" t="s">
        <v>8</v>
      </c>
      <c r="S4" t="s">
        <v>9</v>
      </c>
      <c r="T4" t="s">
        <v>1</v>
      </c>
      <c r="V4" s="12">
        <v>119</v>
      </c>
      <c r="W4" s="4">
        <v>0.3949579831932773</v>
      </c>
      <c r="X4" s="7">
        <v>4.3964497041420119</v>
      </c>
      <c r="Y4" s="8">
        <v>9332.1000921773702</v>
      </c>
      <c r="Z4" s="9">
        <v>16.974789915966387</v>
      </c>
    </row>
    <row r="5" spans="1:26" x14ac:dyDescent="0.25">
      <c r="A5" s="2">
        <v>2024</v>
      </c>
      <c r="B5" s="12">
        <v>118</v>
      </c>
      <c r="C5" s="12">
        <v>28</v>
      </c>
      <c r="D5" s="12">
        <v>16</v>
      </c>
      <c r="F5" s="2" t="s">
        <v>5</v>
      </c>
      <c r="G5" s="5">
        <v>0.8</v>
      </c>
      <c r="I5" s="3" t="s">
        <v>19</v>
      </c>
      <c r="J5" s="6">
        <v>9120.09786516854</v>
      </c>
      <c r="L5" s="2" t="s">
        <v>30</v>
      </c>
      <c r="M5" s="12">
        <v>83</v>
      </c>
      <c r="N5" s="12">
        <v>59</v>
      </c>
      <c r="O5" s="12">
        <v>99</v>
      </c>
      <c r="P5" s="12">
        <v>468</v>
      </c>
      <c r="Q5" s="12">
        <v>87</v>
      </c>
      <c r="R5" s="12">
        <v>208</v>
      </c>
      <c r="S5" s="12">
        <v>134</v>
      </c>
      <c r="T5" s="12">
        <v>1138</v>
      </c>
    </row>
    <row r="6" spans="1:26" x14ac:dyDescent="0.25">
      <c r="A6" s="2">
        <v>2025</v>
      </c>
      <c r="B6" s="12">
        <v>119</v>
      </c>
      <c r="C6" s="12">
        <v>22</v>
      </c>
      <c r="D6" s="12">
        <v>21</v>
      </c>
      <c r="F6" s="2" t="s">
        <v>6</v>
      </c>
      <c r="G6" s="5">
        <v>7.6923076923076927E-2</v>
      </c>
      <c r="I6" s="3" t="s">
        <v>20</v>
      </c>
      <c r="J6" s="6">
        <v>9128.0949074074088</v>
      </c>
      <c r="L6" s="2" t="s">
        <v>31</v>
      </c>
      <c r="M6" s="12">
        <v>2</v>
      </c>
      <c r="N6" s="12">
        <v>10</v>
      </c>
      <c r="O6" s="12">
        <v>37</v>
      </c>
      <c r="P6" s="12">
        <v>19</v>
      </c>
      <c r="Q6" s="12">
        <v>7</v>
      </c>
      <c r="R6" s="12">
        <v>32</v>
      </c>
      <c r="S6" s="12">
        <v>15</v>
      </c>
      <c r="T6" s="12">
        <v>122</v>
      </c>
    </row>
    <row r="7" spans="1:26" x14ac:dyDescent="0.25">
      <c r="A7" s="2" t="s">
        <v>1</v>
      </c>
      <c r="B7" s="12">
        <v>119</v>
      </c>
      <c r="C7" s="12">
        <v>73</v>
      </c>
      <c r="D7" s="12">
        <v>47</v>
      </c>
      <c r="F7" s="2" t="s">
        <v>43</v>
      </c>
      <c r="G7" s="5">
        <v>1.2</v>
      </c>
      <c r="I7" s="3" t="s">
        <v>23</v>
      </c>
      <c r="J7" s="6">
        <v>9144.4701162790643</v>
      </c>
      <c r="L7" s="2" t="s">
        <v>32</v>
      </c>
      <c r="M7" s="12">
        <v>15</v>
      </c>
      <c r="N7" s="12">
        <v>4</v>
      </c>
      <c r="O7" s="12">
        <v>18</v>
      </c>
      <c r="P7" s="12">
        <v>28</v>
      </c>
      <c r="Q7" s="12">
        <v>41</v>
      </c>
      <c r="R7" s="12">
        <v>106</v>
      </c>
      <c r="S7" s="12">
        <v>40</v>
      </c>
      <c r="T7" s="12">
        <v>252</v>
      </c>
    </row>
    <row r="8" spans="1:26" x14ac:dyDescent="0.25">
      <c r="F8" s="2" t="s">
        <v>7</v>
      </c>
      <c r="G8" s="5">
        <v>0.25</v>
      </c>
      <c r="I8" s="2" t="s">
        <v>5</v>
      </c>
      <c r="J8" s="6"/>
      <c r="L8" s="2" t="s">
        <v>33</v>
      </c>
      <c r="M8" s="12">
        <v>5</v>
      </c>
      <c r="N8" s="12">
        <v>23</v>
      </c>
      <c r="O8" s="12">
        <v>2</v>
      </c>
      <c r="P8" s="12">
        <v>14</v>
      </c>
      <c r="Q8" s="12">
        <v>27</v>
      </c>
      <c r="R8" s="12">
        <v>21</v>
      </c>
      <c r="S8" s="12">
        <v>38</v>
      </c>
      <c r="T8" s="12">
        <v>130</v>
      </c>
    </row>
    <row r="9" spans="1:26" x14ac:dyDescent="0.25">
      <c r="F9" s="2" t="s">
        <v>8</v>
      </c>
      <c r="G9" s="5">
        <v>0.84210526315789469</v>
      </c>
      <c r="I9" s="3" t="s">
        <v>13</v>
      </c>
      <c r="J9" s="6">
        <v>13993.908535031847</v>
      </c>
      <c r="L9" s="2" t="s">
        <v>34</v>
      </c>
      <c r="M9" s="12">
        <v>31</v>
      </c>
      <c r="N9" s="12">
        <v>34</v>
      </c>
      <c r="O9" s="12">
        <v>42</v>
      </c>
      <c r="P9" s="12">
        <v>74</v>
      </c>
      <c r="Q9" s="12">
        <v>70</v>
      </c>
      <c r="R9" s="12">
        <v>66</v>
      </c>
      <c r="S9" s="12">
        <v>61</v>
      </c>
      <c r="T9" s="12">
        <v>378</v>
      </c>
    </row>
    <row r="10" spans="1:26" x14ac:dyDescent="0.25">
      <c r="F10" s="2" t="s">
        <v>9</v>
      </c>
      <c r="G10" s="5">
        <v>0.18181818181818182</v>
      </c>
      <c r="I10" s="3" t="s">
        <v>22</v>
      </c>
      <c r="J10" s="6">
        <v>7987.491806167398</v>
      </c>
      <c r="L10" s="2" t="s">
        <v>1</v>
      </c>
      <c r="M10" s="12">
        <v>136</v>
      </c>
      <c r="N10" s="12">
        <v>130</v>
      </c>
      <c r="O10" s="12">
        <v>198</v>
      </c>
      <c r="P10" s="12">
        <v>603</v>
      </c>
      <c r="Q10" s="12">
        <v>232</v>
      </c>
      <c r="R10" s="12">
        <v>433</v>
      </c>
      <c r="S10" s="12">
        <v>288</v>
      </c>
      <c r="T10" s="12">
        <v>2020</v>
      </c>
    </row>
    <row r="11" spans="1:26" x14ac:dyDescent="0.25">
      <c r="F11" s="2" t="s">
        <v>1</v>
      </c>
      <c r="G11" s="5">
        <v>0.3949579831932773</v>
      </c>
      <c r="I11" s="3" t="s">
        <v>24</v>
      </c>
      <c r="J11" s="6">
        <v>7966.7083018867925</v>
      </c>
    </row>
    <row r="12" spans="1:26" x14ac:dyDescent="0.25">
      <c r="I12" s="2" t="s">
        <v>6</v>
      </c>
      <c r="J12" s="6"/>
    </row>
    <row r="13" spans="1:26" x14ac:dyDescent="0.25">
      <c r="I13" s="3" t="s">
        <v>11</v>
      </c>
      <c r="J13" s="6">
        <v>9903.7655932203397</v>
      </c>
    </row>
    <row r="14" spans="1:26" x14ac:dyDescent="0.25">
      <c r="I14" s="3" t="s">
        <v>12</v>
      </c>
      <c r="J14" s="6">
        <v>9483.8890555555536</v>
      </c>
    </row>
    <row r="15" spans="1:26" x14ac:dyDescent="0.25">
      <c r="I15" s="3" t="s">
        <v>14</v>
      </c>
      <c r="J15" s="6">
        <v>17970.64404040404</v>
      </c>
    </row>
    <row r="16" spans="1:26" x14ac:dyDescent="0.25">
      <c r="I16" s="3" t="s">
        <v>21</v>
      </c>
      <c r="J16" s="6">
        <v>11211.183524590168</v>
      </c>
    </row>
    <row r="17" spans="9:10" x14ac:dyDescent="0.25">
      <c r="I17" s="2" t="s">
        <v>43</v>
      </c>
      <c r="J17" s="6"/>
    </row>
    <row r="18" spans="9:10" x14ac:dyDescent="0.25">
      <c r="I18" s="3" t="s">
        <v>44</v>
      </c>
      <c r="J18" s="6">
        <v>11382.110578947368</v>
      </c>
    </row>
    <row r="19" spans="9:10" x14ac:dyDescent="0.25">
      <c r="I19" s="3" t="s">
        <v>45</v>
      </c>
      <c r="J19" s="6">
        <v>6395.8660122699393</v>
      </c>
    </row>
    <row r="20" spans="9:10" x14ac:dyDescent="0.25">
      <c r="I20" s="3" t="s">
        <v>46</v>
      </c>
      <c r="J20" s="6">
        <v>6408.5139366515832</v>
      </c>
    </row>
    <row r="21" spans="9:10" x14ac:dyDescent="0.25">
      <c r="I21" s="2" t="s">
        <v>7</v>
      </c>
      <c r="J21" s="6"/>
    </row>
    <row r="22" spans="9:10" x14ac:dyDescent="0.25">
      <c r="I22" s="3" t="s">
        <v>47</v>
      </c>
      <c r="J22" s="6">
        <v>8923.3809121621598</v>
      </c>
    </row>
    <row r="23" spans="9:10" x14ac:dyDescent="0.25">
      <c r="I23" s="3" t="s">
        <v>15</v>
      </c>
      <c r="J23" s="6">
        <v>13466.640378787868</v>
      </c>
    </row>
    <row r="24" spans="9:10" x14ac:dyDescent="0.25">
      <c r="I24" s="3" t="s">
        <v>25</v>
      </c>
      <c r="J24" s="6">
        <v>7628.0674666666673</v>
      </c>
    </row>
    <row r="25" spans="9:10" x14ac:dyDescent="0.25">
      <c r="I25" s="2" t="s">
        <v>8</v>
      </c>
      <c r="J25" s="6"/>
    </row>
    <row r="26" spans="9:10" x14ac:dyDescent="0.25">
      <c r="I26" s="3" t="s">
        <v>17</v>
      </c>
      <c r="J26" s="6">
        <v>10641.683157894737</v>
      </c>
    </row>
    <row r="27" spans="9:10" x14ac:dyDescent="0.25">
      <c r="I27" s="3" t="s">
        <v>18</v>
      </c>
      <c r="J27" s="6">
        <v>6182.6587550200793</v>
      </c>
    </row>
    <row r="28" spans="9:10" x14ac:dyDescent="0.25">
      <c r="I28" s="3" t="s">
        <v>27</v>
      </c>
      <c r="J28" s="6">
        <v>7055.7201562499949</v>
      </c>
    </row>
    <row r="29" spans="9:10" x14ac:dyDescent="0.25">
      <c r="I29" s="2" t="s">
        <v>9</v>
      </c>
      <c r="J29" s="6"/>
    </row>
    <row r="30" spans="9:10" x14ac:dyDescent="0.25">
      <c r="I30" s="3" t="s">
        <v>16</v>
      </c>
      <c r="J30" s="6">
        <v>12148.193095238083</v>
      </c>
    </row>
    <row r="31" spans="9:10" x14ac:dyDescent="0.25">
      <c r="I31" s="3" t="s">
        <v>26</v>
      </c>
      <c r="J31" s="6">
        <v>8837.6073728813553</v>
      </c>
    </row>
    <row r="32" spans="9:10" x14ac:dyDescent="0.25">
      <c r="I32" s="3" t="s">
        <v>28</v>
      </c>
      <c r="J32" s="6">
        <v>7849.5168095238059</v>
      </c>
    </row>
    <row r="33" spans="9:10" x14ac:dyDescent="0.25">
      <c r="I33" s="2" t="s">
        <v>1</v>
      </c>
      <c r="J33" s="6">
        <v>9332.1000921773702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DAC4B-6940-4979-A9A7-4BEC9D450E6F}">
  <dimension ref="A1:G5"/>
  <sheetViews>
    <sheetView workbookViewId="0">
      <selection activeCell="C2" sqref="C2"/>
    </sheetView>
  </sheetViews>
  <sheetFormatPr defaultRowHeight="15" x14ac:dyDescent="0.25"/>
  <cols>
    <col min="1" max="1" width="41.42578125" bestFit="1" customWidth="1"/>
    <col min="3" max="3" width="33.42578125" bestFit="1" customWidth="1"/>
    <col min="4" max="4" width="21.140625" bestFit="1" customWidth="1"/>
    <col min="5" max="5" width="15.42578125" bestFit="1" customWidth="1"/>
    <col min="6" max="6" width="22" bestFit="1" customWidth="1"/>
    <col min="7" max="7" width="27.42578125" bestFit="1" customWidth="1"/>
  </cols>
  <sheetData>
    <row r="1" spans="1:7" x14ac:dyDescent="0.25">
      <c r="A1" t="s">
        <v>40</v>
      </c>
      <c r="C1" t="str" cm="1">
        <f t="array" ref="C1:G2">Analiza!V3:Z4</f>
        <v>Liczba_zatrudnionych_pracownikow</v>
      </c>
      <c r="D1" t="str">
        <v>Wskaznik_rotacji_proc</v>
      </c>
      <c r="E1" t="str">
        <v>Sredni_staz_lata</v>
      </c>
      <c r="F1" t="str">
        <v>Srednie_wynagrodzenie</v>
      </c>
      <c r="G1" t="str">
        <v>Dni_absencji_na_pracownika</v>
      </c>
    </row>
    <row r="2" spans="1:7" x14ac:dyDescent="0.25">
      <c r="A2" t="str" cm="1">
        <f t="array" aca="1" ref="A2" ca="1">LEFT(CELL("nazwa_pliku"),FIND("[",CELL("nazwa_pliku"))-1)</f>
        <v>C:\Workspace\Excel\HR-kadry\</v>
      </c>
      <c r="C2" s="9">
        <v>119</v>
      </c>
      <c r="D2" s="10">
        <v>0.3949579831932773</v>
      </c>
      <c r="E2" s="7">
        <v>4.3964497041420119</v>
      </c>
      <c r="F2" s="8">
        <v>9332.1000921773702</v>
      </c>
      <c r="G2" s="9">
        <v>16.974789915966387</v>
      </c>
    </row>
    <row r="4" spans="1:7" x14ac:dyDescent="0.25">
      <c r="A4" t="s">
        <v>41</v>
      </c>
    </row>
    <row r="5" spans="1:7" x14ac:dyDescent="0.25">
      <c r="A5" t="s">
        <v>42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��BDBD
</file>

<file path=customXml/item5.xml>��BBBDBDBBBBBBDBBBBBBBBBBDBDDBBBDDDDDDB[BDB[BDB[B[B[B[B[B[B[B[B[B[B[B[B[B[B[B[B[B[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��B
</file>

<file path=customXml/item13.xml>��
</file>

<file path=customXml/item14.xml>��
</file>

<file path=customXml/item15.xml>��
</file>

<file path=customXml/item16.xml>��
</file>

<file path=customXml/item17.xml>��B
</file>

<file path=customXml/item18.xml>��
</file>

<file path=customXml/item19.xml>��
</file>

<file path=customXml/item20.xml>��B
</file>

<file path=customXml/item21.xml>��BDBD
</file>

<file path=customXml/item22.xml>��
</file>

<file path=customXml/item23.xml>��BDBBBD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4203114D-6738-440E-952F-EB58C1D746F2}">
  <ds:schemaRefs/>
</ds:datastoreItem>
</file>

<file path=customXml/itemProps2.xml><?xml version="1.0" encoding="utf-8"?>
<ds:datastoreItem xmlns:ds="http://schemas.openxmlformats.org/officeDocument/2006/customXml" ds:itemID="{18533B71-2B3E-49D2-B020-B220D010046A}">
  <ds:schemaRefs/>
</ds:datastoreItem>
</file>

<file path=customXml/itemProps3.xml><?xml version="1.0" encoding="utf-8"?>
<ds:datastoreItem xmlns:ds="http://schemas.openxmlformats.org/officeDocument/2006/customXml" ds:itemID="{E22DD04D-0063-441F-B3A0-E8C1E51D0CF5}">
  <ds:schemaRefs/>
</ds:datastoreItem>
</file>

<file path=customXml/itemProps4.xml><?xml version="1.0" encoding="utf-8"?>
<ds:datastoreItem xmlns:ds="http://schemas.openxmlformats.org/officeDocument/2006/customXml" ds:itemID="{18A773F4-D560-48D0-B083-B3D1E492A701}">
  <ds:schemaRefs/>
</ds:datastoreItem>
</file>

<file path=customXml/itemProps5.xml><?xml version="1.0" encoding="utf-8"?>
<ds:datastoreItem xmlns:ds="http://schemas.openxmlformats.org/officeDocument/2006/customXml" ds:itemID="{831D49C8-88FB-4FB5-90F7-B178B0255E39}">
  <ds:schemaRefs/>
</ds:datastoreItem>
</file>

<file path=customXml/itemProps6.xml><?xml version="1.0" encoding="utf-8"?>
<ds:datastoreItem xmlns:ds="http://schemas.openxmlformats.org/officeDocument/2006/customXml" ds:itemID="{8A32CE2D-A417-4640-B8D6-6A1EBBCB06F4}">
  <ds:schemaRefs/>
</ds:datastoreItem>
</file>

<file path=customXml/itemProps7.xml><?xml version="1.0" encoding="utf-8"?>
<ds:datastoreItem xmlns:ds="http://schemas.openxmlformats.org/officeDocument/2006/customXml" ds:itemID="{54BF01E1-C06E-4C42-A6EA-56B7F95663D5}">
  <ds:schemaRefs/>
</ds:datastoreItem>
</file>

<file path=customXml/itemProps8.xml><?xml version="1.0" encoding="utf-8"?>
<ds:datastoreItem xmlns:ds="http://schemas.openxmlformats.org/officeDocument/2006/customXml" ds:itemID="{6A9397B7-A057-4A01-B2EA-88D7A1E9B491}">
  <ds:schemaRefs/>
</ds:datastoreItem>
</file>

<file path=customXml/itemProps9.xml><?xml version="1.0" encoding="utf-8"?>
<ds:datastoreItem xmlns:ds="http://schemas.openxmlformats.org/officeDocument/2006/customXml" ds:itemID="{7B889C7A-8BA9-4BB3-BDC2-372B6B850CD4}">
  <ds:schemaRefs/>
</ds:datastoreItem>
</file>

<file path=customXml/itemProps10.xml><?xml version="1.0" encoding="utf-8"?>
<ds:datastoreItem xmlns:ds="http://schemas.openxmlformats.org/officeDocument/2006/customXml" ds:itemID="{FD3B7B39-E25D-42B9-9F0B-C9CB90AEBA28}">
  <ds:schemaRefs/>
</ds:datastoreItem>
</file>

<file path=customXml/itemProps11.xml><?xml version="1.0" encoding="utf-8"?>
<ds:datastoreItem xmlns:ds="http://schemas.openxmlformats.org/officeDocument/2006/customXml" ds:itemID="{5AC3A031-0283-46D5-AEE1-F2BB5B07AA47}">
  <ds:schemaRefs/>
</ds:datastoreItem>
</file>

<file path=customXml/itemProps12.xml><?xml version="1.0" encoding="utf-8"?>
<ds:datastoreItem xmlns:ds="http://schemas.openxmlformats.org/officeDocument/2006/customXml" ds:itemID="{6FAD2BBC-6FC8-402A-B18C-FB70E4683CC6}">
  <ds:schemaRefs/>
</ds:datastoreItem>
</file>

<file path=customXml/itemProps13.xml><?xml version="1.0" encoding="utf-8"?>
<ds:datastoreItem xmlns:ds="http://schemas.openxmlformats.org/officeDocument/2006/customXml" ds:itemID="{240C44EF-555E-49EE-8622-4DE95177749A}">
  <ds:schemaRefs/>
</ds:datastoreItem>
</file>

<file path=customXml/itemProps14.xml><?xml version="1.0" encoding="utf-8"?>
<ds:datastoreItem xmlns:ds="http://schemas.openxmlformats.org/officeDocument/2006/customXml" ds:itemID="{D1E36905-1160-471D-A2C9-BC616A81DB89}">
  <ds:schemaRefs/>
</ds:datastoreItem>
</file>

<file path=customXml/itemProps15.xml><?xml version="1.0" encoding="utf-8"?>
<ds:datastoreItem xmlns:ds="http://schemas.openxmlformats.org/officeDocument/2006/customXml" ds:itemID="{7081C583-0FC7-4E79-8862-5EBFAA073599}">
  <ds:schemaRefs/>
</ds:datastoreItem>
</file>

<file path=customXml/itemProps16.xml><?xml version="1.0" encoding="utf-8"?>
<ds:datastoreItem xmlns:ds="http://schemas.openxmlformats.org/officeDocument/2006/customXml" ds:itemID="{122BE77E-3345-4011-8B12-CB78FD7F0149}">
  <ds:schemaRefs/>
</ds:datastoreItem>
</file>

<file path=customXml/itemProps17.xml><?xml version="1.0" encoding="utf-8"?>
<ds:datastoreItem xmlns:ds="http://schemas.openxmlformats.org/officeDocument/2006/customXml" ds:itemID="{07C65DDD-9E0B-4673-9F97-A1071011A089}">
  <ds:schemaRefs/>
</ds:datastoreItem>
</file>

<file path=customXml/itemProps18.xml><?xml version="1.0" encoding="utf-8"?>
<ds:datastoreItem xmlns:ds="http://schemas.openxmlformats.org/officeDocument/2006/customXml" ds:itemID="{E0003563-7DA8-4B5B-87F0-3C375343F191}">
  <ds:schemaRefs/>
</ds:datastoreItem>
</file>

<file path=customXml/itemProps19.xml><?xml version="1.0" encoding="utf-8"?>
<ds:datastoreItem xmlns:ds="http://schemas.openxmlformats.org/officeDocument/2006/customXml" ds:itemID="{87A6C1E2-8400-41EF-AC01-459B3A05484E}">
  <ds:schemaRefs/>
</ds:datastoreItem>
</file>

<file path=customXml/itemProps20.xml><?xml version="1.0" encoding="utf-8"?>
<ds:datastoreItem xmlns:ds="http://schemas.openxmlformats.org/officeDocument/2006/customXml" ds:itemID="{C63EE766-CE80-4E05-9935-B836F04B27A8}">
  <ds:schemaRefs/>
</ds:datastoreItem>
</file>

<file path=customXml/itemProps21.xml><?xml version="1.0" encoding="utf-8"?>
<ds:datastoreItem xmlns:ds="http://schemas.openxmlformats.org/officeDocument/2006/customXml" ds:itemID="{5F22F29B-AB88-4436-8B61-C393FBE63D79}">
  <ds:schemaRefs/>
</ds:datastoreItem>
</file>

<file path=customXml/itemProps22.xml><?xml version="1.0" encoding="utf-8"?>
<ds:datastoreItem xmlns:ds="http://schemas.openxmlformats.org/officeDocument/2006/customXml" ds:itemID="{394B82C5-892E-4E7C-A878-47ED1D541B67}">
  <ds:schemaRefs/>
</ds:datastoreItem>
</file>

<file path=customXml/itemProps23.xml><?xml version="1.0" encoding="utf-8"?>
<ds:datastoreItem xmlns:ds="http://schemas.openxmlformats.org/officeDocument/2006/customXml" ds:itemID="{40526CA9-E28E-4C21-A1B6-59E64DB8F917}">
  <ds:schemaRefs/>
</ds:datastoreItem>
</file>

<file path=customXml/itemProps24.xml><?xml version="1.0" encoding="utf-8"?>
<ds:datastoreItem xmlns:ds="http://schemas.openxmlformats.org/officeDocument/2006/customXml" ds:itemID="{632F1ABD-F79A-4F55-AFA4-33580C4985B0}">
  <ds:schemaRefs>
    <ds:schemaRef ds:uri="http://schemas.microsoft.com/DataMashup"/>
  </ds:schemaRefs>
</ds:datastoreItem>
</file>

<file path=customXml/itemProps25.xml><?xml version="1.0" encoding="utf-8"?>
<ds:datastoreItem xmlns:ds="http://schemas.openxmlformats.org/officeDocument/2006/customXml" ds:itemID="{16B66730-A6CA-4448-B6D9-3F9DEEDF105C}">
  <ds:schemaRefs/>
</ds:datastoreItem>
</file>

<file path=customXml/itemProps26.xml><?xml version="1.0" encoding="utf-8"?>
<ds:datastoreItem xmlns:ds="http://schemas.openxmlformats.org/officeDocument/2006/customXml" ds:itemID="{BA308EBE-7116-479C-9B16-6BCADB97AC2F}">
  <ds:schemaRefs/>
</ds:datastoreItem>
</file>

<file path=customXml/itemProps27.xml><?xml version="1.0" encoding="utf-8"?>
<ds:datastoreItem xmlns:ds="http://schemas.openxmlformats.org/officeDocument/2006/customXml" ds:itemID="{9311435D-3D4D-49C4-BD47-989EE9CBA3C7}">
  <ds:schemaRefs/>
</ds:datastoreItem>
</file>

<file path=customXml/itemProps28.xml><?xml version="1.0" encoding="utf-8"?>
<ds:datastoreItem xmlns:ds="http://schemas.openxmlformats.org/officeDocument/2006/customXml" ds:itemID="{53131038-4FC3-4ECF-BFC2-C79C6BC0114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Dashboard</vt:lpstr>
      <vt:lpstr>Analiza</vt:lpstr>
      <vt:lpstr>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</dc:creator>
  <cp:lastModifiedBy>Michal</cp:lastModifiedBy>
  <dcterms:created xsi:type="dcterms:W3CDTF">2026-07-08T10:01:56Z</dcterms:created>
  <dcterms:modified xsi:type="dcterms:W3CDTF">2026-07-10T12:25:15Z</dcterms:modified>
</cp:coreProperties>
</file>