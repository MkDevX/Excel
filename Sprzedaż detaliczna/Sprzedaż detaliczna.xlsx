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l\Downloads\Excel\Sprzedaż detaliczna\"/>
    </mc:Choice>
  </mc:AlternateContent>
  <xr:revisionPtr revIDLastSave="0" documentId="13_ncr:1_{E008E266-EE36-4FA5-8FBE-0EF639A76A98}" xr6:coauthVersionLast="47" xr6:coauthVersionMax="47" xr10:uidLastSave="{00000000-0000-0000-0000-000000000000}"/>
  <bookViews>
    <workbookView xWindow="-120" yWindow="-120" windowWidth="29040" windowHeight="15720" xr2:uid="{AB661E43-28F8-4D68-B34C-469105F5DD96}"/>
  </bookViews>
  <sheets>
    <sheet name="Dashboard" sheetId="3" r:id="rId1"/>
    <sheet name="Analiza" sheetId="1" r:id="rId2"/>
    <sheet name="_" sheetId="4" r:id="rId3"/>
  </sheets>
  <definedNames>
    <definedName name="Fragmentator_Kategoria">#N/A</definedName>
    <definedName name="Fragmentator_Region">#N/A</definedName>
    <definedName name="Fragmentator_Rok">#N/A</definedName>
    <definedName name="Fragmentator_Segment_klienta">#N/A</definedName>
    <definedName name="OśCzasu_Data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4="http://schemas.microsoft.com/office/spreadsheetml/2009/9/main" uri="{876F7934-8845-4945-9796-88D515C7AA90}">
      <x14:pivotCaches>
        <pivotCache cacheId="5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rzedaż_edd792c7-167e-4c30-9502-800282300af9" name="Sprzedaż" connection="Zapytanie — Sprzedaż"/>
          <x15:modelTable id="Produkty_8012d2e4-eb36-42f2-8a86-6dc7d4630135" name="Produkty" connection="Zapytanie — Produkty"/>
          <x15:modelTable id="Sprzedawcy_3fe39e11-82d0-4a04-a0fd-b395f2494fa1" name="Sprzedawcy" connection="Zapytanie — Sprzedawcy"/>
          <x15:modelTable id="Klienci_4b6a8068-234e-4b27-8d5b-fc8ab445c5b4" name="Klienci" connection="Zapytanie — Klienci"/>
          <x15:modelTable id="Calendar" name="Kalendarz" connection="Połączenie"/>
        </x15:modelTables>
        <x15:modelRelationships>
          <x15:modelRelationship fromTable="Sprzedaż" fromColumn="ID_Produktu" toTable="Produkty" toColumn="ID_Produktu"/>
          <x15:modelRelationship fromTable="Sprzedaż" fromColumn="ID_Sprzedawcy" toTable="Sprzedawcy" toColumn="ID_Sprzedawcy"/>
          <x15:modelRelationship fromTable="Sprzedaż" fromColumn="ID_Klienta" toTable="Klienci" toColumn="ID_Klienta"/>
          <x15:modelRelationship fromTable="Sprzedaż" fromColumn="Data" toTable="Kalendarz" toColumn="Da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4" l="1" a="1"/>
  <c r="A2" i="4" s="1"/>
  <c r="A1" i="3" a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C7AEAC-8D5C-4A94-AF75-17E1CD24AA0A}" name="Połączenie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0B9198EA-5A06-4651-BBA1-7C95D1F4D7BD}" keepAlive="1" name="ThisWorkbookDataModel" description="Model danych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EAD043C-11D0-4239-A017-A68E109885B2}" name="Zapytanie — Klienci" description="Połączenie z zapytaniem „Klienci” w skoroszycie." type="100" refreshedVersion="8" minRefreshableVersion="5">
    <extLst>
      <ext xmlns:x15="http://schemas.microsoft.com/office/spreadsheetml/2010/11/main" uri="{DE250136-89BD-433C-8126-D09CA5730AF9}">
        <x15:connection id="2ac30824-4dcf-46ed-b49d-18ccd751d0d8"/>
      </ext>
    </extLst>
  </connection>
  <connection id="4" xr16:uid="{28FAB6F4-A863-49E2-833C-2398AD5768BE}" name="Zapytanie — Produkty" description="Połączenie z zapytaniem „Produkty” w skoroszycie." type="100" refreshedVersion="8" minRefreshableVersion="5">
    <extLst>
      <ext xmlns:x15="http://schemas.microsoft.com/office/spreadsheetml/2010/11/main" uri="{DE250136-89BD-433C-8126-D09CA5730AF9}">
        <x15:connection id="31f7ebc4-127c-4252-be53-5bca9693a111"/>
      </ext>
    </extLst>
  </connection>
  <connection id="5" xr16:uid="{455CF6F6-A104-45F9-9823-7B1A296B6171}" name="Zapytanie — Sprzedawcy" description="Połączenie z zapytaniem „Sprzedawcy” w skoroszycie." type="100" refreshedVersion="8" minRefreshableVersion="5">
    <extLst>
      <ext xmlns:x15="http://schemas.microsoft.com/office/spreadsheetml/2010/11/main" uri="{DE250136-89BD-433C-8126-D09CA5730AF9}">
        <x15:connection id="be7873c6-3625-455c-9826-3cf03d15e35f"/>
      </ext>
    </extLst>
  </connection>
  <connection id="6" xr16:uid="{59EC31A3-CEAC-4860-A7E4-E8211D4F0D5C}" name="Zapytanie — Sprzedaż" description="Połączenie z zapytaniem „Sprzedaż” w skoroszycie." type="100" refreshedVersion="8" minRefreshableVersion="5">
    <extLst>
      <ext xmlns:x15="http://schemas.microsoft.com/office/spreadsheetml/2010/11/main" uri="{DE250136-89BD-433C-8126-D09CA5730AF9}">
        <x15:connection id="beffcbe2-d593-4c22-b446-6ce0cde04ad5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<sst xmlns="http://schemas.openxmlformats.org/spreadsheetml/2006/main" count="84" uniqueCount="50">
  <si>
    <t>Etykiety wierszy</t>
  </si>
  <si>
    <t>Suma końcowa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</si>
  <si>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</si>
  <si>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</si>
  <si>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</si>
  <si>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</si>
  <si>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</si>
  <si>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</si>
  <si>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</si>
  <si>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</si>
  <si>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</si>
  <si>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</si>
  <si>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</si>
  <si>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</si>
  <si>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Przychod</t>
  </si>
  <si>
    <t>AGD</t>
  </si>
  <si>
    <t>Dom i Ogród</t>
  </si>
  <si>
    <t>Elektronika</t>
  </si>
  <si>
    <t>Sport</t>
  </si>
  <si>
    <t>Uroda</t>
  </si>
  <si>
    <t>Zabawki</t>
  </si>
  <si>
    <t>Akcesoria model 1013</t>
  </si>
  <si>
    <t>Dekoracj model 1027</t>
  </si>
  <si>
    <t>Duże AGD model 1019</t>
  </si>
  <si>
    <t>Klocki model 1048</t>
  </si>
  <si>
    <t>Kosmetyki model 1061</t>
  </si>
  <si>
    <t>Kosmetyki model 1062</t>
  </si>
  <si>
    <t>Mebl model 1025</t>
  </si>
  <si>
    <t>Odzież sportowa model 1047</t>
  </si>
  <si>
    <t>Pielęgnacja model 1064</t>
  </si>
  <si>
    <t>Smartfony model 1001</t>
  </si>
  <si>
    <t>Centrum</t>
  </si>
  <si>
    <t>Południe</t>
  </si>
  <si>
    <t>Północ</t>
  </si>
  <si>
    <t>Wschód</t>
  </si>
  <si>
    <t>Zachód</t>
  </si>
  <si>
    <t>Etykiety kolumn</t>
  </si>
  <si>
    <t>Biznesowy</t>
  </si>
  <si>
    <t>Detaliczny</t>
  </si>
  <si>
    <t>VIP</t>
  </si>
  <si>
    <t>2023–2025</t>
  </si>
  <si>
    <t>Przychód</t>
  </si>
  <si>
    <t>Liczba transakcji</t>
  </si>
  <si>
    <t>Zakres lat</t>
  </si>
  <si>
    <t>Śr. wartosc transakcji</t>
  </si>
  <si>
    <t>Liczba zwrotów</t>
  </si>
  <si>
    <t>Dochód %</t>
  </si>
  <si>
    <t>Ścieżka</t>
  </si>
  <si>
    <t>sprzedaz_detaliczna_dane_zrodlowe.xlsx</t>
  </si>
  <si>
    <t>Plik źródłowy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</si>
</sst>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zł-415]_-;\-* #,##0\ [$zł-415]_-;_-* &quot;-&quot;??\ [$zł-415]_-;_-@_-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quotePrefix="1" applyAlignment="1">
      <alignment wrapText="1"/>
    </xf>
    <xf numFmtId="0" fontId="3" fillId="0" borderId="0" xfId="0" applyFont="1"/>
    <xf numFmtId="164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" fontId="2" fillId="0" borderId="0" xfId="1" applyNumberFormat="1" applyFont="1"/>
    <xf numFmtId="10" fontId="2" fillId="0" borderId="0" xfId="1" applyNumberFormat="1" applyFont="1"/>
  </cellXfs>
  <cellStyles count="2">
    <cellStyle name="Normalny" xfId="0" builtinId="0"/>
    <cellStyle name="Procentowy" xfId="1" builtinId="5"/>
  </cellStyles>
  <dxfs count="14"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" formatCode="0"/>
    </dxf>
    <dxf>
      <numFmt numFmtId="19" formatCode="d/mm/yyyy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  <dxf>
      <numFmt numFmtId="164" formatCode="_-* #,##0\ [$zł-415]_-;\-* #,##0\ [$zł-415]_-;_-* &quot;-&quot;??\ [$zł-415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7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2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10" Type="http://schemas.microsoft.com/office/2007/relationships/slicerCache" Target="slicerCaches/slicerCache1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microsoft.com/office/2007/relationships/slicerCache" Target="slicerCaches/slicerCache3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[Sprzedaz detaliczna.xlsx]Analiza!Przychód w czasie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>
                <a:latin typeface="Arial" panose="020B0604020202020204" pitchFamily="34" charset="0"/>
                <a:cs typeface="Arial" panose="020B0604020202020204" pitchFamily="34" charset="0"/>
              </a:rPr>
              <a:t>Przych</a:t>
            </a:r>
            <a:r>
              <a:rPr lang="pl-PL" sz="1800">
                <a:latin typeface="Arial" panose="020B0604020202020204" pitchFamily="34" charset="0"/>
                <a:cs typeface="Arial" panose="020B0604020202020204" pitchFamily="34" charset="0"/>
              </a:rPr>
              <a:t>ó</a:t>
            </a:r>
            <a:r>
              <a:rPr lang="en-US" sz="1800">
                <a:latin typeface="Arial" panose="020B0604020202020204" pitchFamily="34" charset="0"/>
                <a:cs typeface="Arial" panose="020B0604020202020204" pitchFamily="34" charset="0"/>
              </a:rPr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Analiza!$B$3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Analiza!$A$4:$A$43</c:f>
              <c:multiLvlStrCache>
                <c:ptCount val="36"/>
                <c:lvl>
                  <c:pt idx="0">
                    <c:v>styczeń</c:v>
                  </c:pt>
                  <c:pt idx="1">
                    <c:v>luty</c:v>
                  </c:pt>
                  <c:pt idx="2">
                    <c:v>marzec</c:v>
                  </c:pt>
                  <c:pt idx="3">
                    <c:v>kwiecień</c:v>
                  </c:pt>
                  <c:pt idx="4">
                    <c:v>maj</c:v>
                  </c:pt>
                  <c:pt idx="5">
                    <c:v>czerwiec</c:v>
                  </c:pt>
                  <c:pt idx="6">
                    <c:v>lipiec</c:v>
                  </c:pt>
                  <c:pt idx="7">
                    <c:v>sierpień</c:v>
                  </c:pt>
                  <c:pt idx="8">
                    <c:v>wrzesień</c:v>
                  </c:pt>
                  <c:pt idx="9">
                    <c:v>październik</c:v>
                  </c:pt>
                  <c:pt idx="10">
                    <c:v>listopad</c:v>
                  </c:pt>
                  <c:pt idx="11">
                    <c:v>grudzień</c:v>
                  </c:pt>
                  <c:pt idx="12">
                    <c:v>styczeń</c:v>
                  </c:pt>
                  <c:pt idx="13">
                    <c:v>luty</c:v>
                  </c:pt>
                  <c:pt idx="14">
                    <c:v>marzec</c:v>
                  </c:pt>
                  <c:pt idx="15">
                    <c:v>kwiecień</c:v>
                  </c:pt>
                  <c:pt idx="16">
                    <c:v>maj</c:v>
                  </c:pt>
                  <c:pt idx="17">
                    <c:v>czerwiec</c:v>
                  </c:pt>
                  <c:pt idx="18">
                    <c:v>lipiec</c:v>
                  </c:pt>
                  <c:pt idx="19">
                    <c:v>sierpień</c:v>
                  </c:pt>
                  <c:pt idx="20">
                    <c:v>wrzesień</c:v>
                  </c:pt>
                  <c:pt idx="21">
                    <c:v>październik</c:v>
                  </c:pt>
                  <c:pt idx="22">
                    <c:v>listopad</c:v>
                  </c:pt>
                  <c:pt idx="23">
                    <c:v>grudzień</c:v>
                  </c:pt>
                  <c:pt idx="24">
                    <c:v>styczeń</c:v>
                  </c:pt>
                  <c:pt idx="25">
                    <c:v>luty</c:v>
                  </c:pt>
                  <c:pt idx="26">
                    <c:v>marzec</c:v>
                  </c:pt>
                  <c:pt idx="27">
                    <c:v>kwiecień</c:v>
                  </c:pt>
                  <c:pt idx="28">
                    <c:v>maj</c:v>
                  </c:pt>
                  <c:pt idx="29">
                    <c:v>czerwiec</c:v>
                  </c:pt>
                  <c:pt idx="30">
                    <c:v>lipiec</c:v>
                  </c:pt>
                  <c:pt idx="31">
                    <c:v>sierpień</c:v>
                  </c:pt>
                  <c:pt idx="32">
                    <c:v>wrzesień</c:v>
                  </c:pt>
                  <c:pt idx="33">
                    <c:v>październik</c:v>
                  </c:pt>
                  <c:pt idx="34">
                    <c:v>listopad</c:v>
                  </c:pt>
                  <c:pt idx="35">
                    <c:v>grudzień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Analiza!$B$4:$B$43</c:f>
              <c:numCache>
                <c:formatCode>_-* #\ ##0\ [$zł-415]_-;\-* #\ ##0\ [$zł-415]_-;_-* "-"??\ [$zł-415]_-;_-@_-</c:formatCode>
                <c:ptCount val="36"/>
                <c:pt idx="0">
                  <c:v>239786.49000000002</c:v>
                </c:pt>
                <c:pt idx="1">
                  <c:v>283903.07000000007</c:v>
                </c:pt>
                <c:pt idx="2">
                  <c:v>257651.43050000005</c:v>
                </c:pt>
                <c:pt idx="3">
                  <c:v>155490.58649999998</c:v>
                </c:pt>
                <c:pt idx="4">
                  <c:v>283915.212</c:v>
                </c:pt>
                <c:pt idx="5">
                  <c:v>213066.67699999997</c:v>
                </c:pt>
                <c:pt idx="6">
                  <c:v>279374.37499999994</c:v>
                </c:pt>
                <c:pt idx="7">
                  <c:v>274029.74199999997</c:v>
                </c:pt>
                <c:pt idx="8">
                  <c:v>215087.10650000002</c:v>
                </c:pt>
                <c:pt idx="9">
                  <c:v>349447.00900000002</c:v>
                </c:pt>
                <c:pt idx="10">
                  <c:v>332870.99449999997</c:v>
                </c:pt>
                <c:pt idx="11">
                  <c:v>226731.1925</c:v>
                </c:pt>
                <c:pt idx="12">
                  <c:v>371915.68150000006</c:v>
                </c:pt>
                <c:pt idx="13">
                  <c:v>220435.03750000001</c:v>
                </c:pt>
                <c:pt idx="14">
                  <c:v>259530.49850000007</c:v>
                </c:pt>
                <c:pt idx="15">
                  <c:v>282834.5515</c:v>
                </c:pt>
                <c:pt idx="16">
                  <c:v>287570.21099999995</c:v>
                </c:pt>
                <c:pt idx="17">
                  <c:v>310185.45149999997</c:v>
                </c:pt>
                <c:pt idx="18">
                  <c:v>341083.89</c:v>
                </c:pt>
                <c:pt idx="19">
                  <c:v>287983.50949999999</c:v>
                </c:pt>
                <c:pt idx="20">
                  <c:v>335416.51549999998</c:v>
                </c:pt>
                <c:pt idx="21">
                  <c:v>461380.23200000002</c:v>
                </c:pt>
                <c:pt idx="22">
                  <c:v>350223.82049999997</c:v>
                </c:pt>
                <c:pt idx="23">
                  <c:v>419989.57600000006</c:v>
                </c:pt>
                <c:pt idx="24">
                  <c:v>231071.8995</c:v>
                </c:pt>
                <c:pt idx="25">
                  <c:v>224594.23600000003</c:v>
                </c:pt>
                <c:pt idx="26">
                  <c:v>230380.36149999994</c:v>
                </c:pt>
                <c:pt idx="27">
                  <c:v>271219.56400000001</c:v>
                </c:pt>
                <c:pt idx="28">
                  <c:v>147182.23949999997</c:v>
                </c:pt>
                <c:pt idx="29">
                  <c:v>197539.89500000005</c:v>
                </c:pt>
                <c:pt idx="30">
                  <c:v>298273.17800000001</c:v>
                </c:pt>
                <c:pt idx="31">
                  <c:v>195407.06699999998</c:v>
                </c:pt>
                <c:pt idx="32">
                  <c:v>210743.15899999996</c:v>
                </c:pt>
                <c:pt idx="33">
                  <c:v>173357.677</c:v>
                </c:pt>
                <c:pt idx="34">
                  <c:v>222701.86199999999</c:v>
                </c:pt>
                <c:pt idx="35">
                  <c:v>142960.33600000004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4-4C6D-9FD6-124DFCE4B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582848"/>
        <c:axId val="496696560"/>
      </c:lineChart>
      <c:catAx>
        <c:axId val="6545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6696560"/>
        <c:crosses val="autoZero"/>
        <c:auto val="1"/>
        <c:lblAlgn val="ctr"/>
        <c:lblOffset val="100"/>
        <c:noMultiLvlLbl val="0"/>
      </c:catAx>
      <c:valAx>
        <c:axId val="4966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458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[Sprzedaz detaliczna.xlsx]Analiza!Przychód wg kategorii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 b="0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Przychód wg kategorii</a:t>
            </a:r>
            <a:endParaRPr lang="pl-PL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Analiza!$E$3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Analiza!$D$4:$D$10</c:f>
              <c:strCache>
                <c:ptCount val="6"/>
                <c:pt idx="0">
                  <c:v>AGD</c:v>
                </c:pt>
                <c:pt idx="1">
                  <c:v>Dom i Ogród</c:v>
                </c:pt>
                <c:pt idx="2">
                  <c:v>Elektronika</c:v>
                </c:pt>
                <c:pt idx="3">
                  <c:v>Sport</c:v>
                </c:pt>
                <c:pt idx="4">
                  <c:v>Uroda</c:v>
                </c:pt>
                <c:pt idx="5">
                  <c:v>Zabawki</c:v>
                </c:pt>
              </c:strCache>
            </c:strRef>
          </c:cat>
          <c:val>
            <c:numRef>
              <c:f>Analiza!$E$4:$E$10</c:f>
              <c:numCache>
                <c:formatCode>_-* #\ ##0\ [$zł-415]_-;\-* #\ ##0\ [$zł-415]_-;_-* "-"??\ [$zł-415]_-;_-@_-</c:formatCode>
                <c:ptCount val="6"/>
                <c:pt idx="0">
                  <c:v>913532.40399999882</c:v>
                </c:pt>
                <c:pt idx="1">
                  <c:v>2082668.7099999995</c:v>
                </c:pt>
                <c:pt idx="2">
                  <c:v>2567652.1505000005</c:v>
                </c:pt>
                <c:pt idx="3">
                  <c:v>1438362.8759999988</c:v>
                </c:pt>
                <c:pt idx="4">
                  <c:v>1285015.2540000007</c:v>
                </c:pt>
                <c:pt idx="5">
                  <c:v>1298102.9405000007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C-41B6-AD40-2A98733C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193312"/>
        <c:axId val="1301844400"/>
      </c:barChart>
      <c:catAx>
        <c:axId val="83219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01844400"/>
        <c:crosses val="autoZero"/>
        <c:auto val="1"/>
        <c:lblAlgn val="ctr"/>
        <c:lblOffset val="100"/>
        <c:noMultiLvlLbl val="0"/>
      </c:catAx>
      <c:valAx>
        <c:axId val="13018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219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[Sprzedaz detaliczna.xlsx]Analiza!TOP 10 produktów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>
                <a:latin typeface="Arial" panose="020B0604020202020204" pitchFamily="34" charset="0"/>
                <a:cs typeface="Arial" panose="020B0604020202020204" pitchFamily="34" charset="0"/>
              </a:rPr>
              <a:t>Top 10 produktów</a:t>
            </a:r>
            <a:endParaRPr lang="en-US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Analiza!$H$3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Analiza!$G$4:$G$14</c:f>
              <c:strCache>
                <c:ptCount val="10"/>
                <c:pt idx="0">
                  <c:v>Akcesoria model 1013</c:v>
                </c:pt>
                <c:pt idx="1">
                  <c:v>Dekoracj model 1027</c:v>
                </c:pt>
                <c:pt idx="2">
                  <c:v>Duże AGD model 1019</c:v>
                </c:pt>
                <c:pt idx="3">
                  <c:v>Mebl model 1025</c:v>
                </c:pt>
                <c:pt idx="4">
                  <c:v>Smartfony model 1001</c:v>
                </c:pt>
                <c:pt idx="5">
                  <c:v>Klocki model 1048</c:v>
                </c:pt>
                <c:pt idx="6">
                  <c:v>Kosmetyki model 1062</c:v>
                </c:pt>
                <c:pt idx="7">
                  <c:v>Odzież sportowa model 1047</c:v>
                </c:pt>
                <c:pt idx="8">
                  <c:v>Kosmetyki model 1061</c:v>
                </c:pt>
                <c:pt idx="9">
                  <c:v>Pielęgnacja model 1064</c:v>
                </c:pt>
              </c:strCache>
            </c:strRef>
          </c:cat>
          <c:val>
            <c:numRef>
              <c:f>Analiza!$H$4:$H$14</c:f>
              <c:numCache>
                <c:formatCode>_-* #\ ##0\ [$zł-415]_-;\-* #\ ##0\ [$zł-415]_-;_-* "-"??\ [$zł-415]_-;_-@_-</c:formatCode>
                <c:ptCount val="10"/>
                <c:pt idx="0">
                  <c:v>396251.8280000001</c:v>
                </c:pt>
                <c:pt idx="1">
                  <c:v>382341.29550000007</c:v>
                </c:pt>
                <c:pt idx="2">
                  <c:v>368652.924</c:v>
                </c:pt>
                <c:pt idx="3">
                  <c:v>315421.60749999998</c:v>
                </c:pt>
                <c:pt idx="4">
                  <c:v>296994.66150000005</c:v>
                </c:pt>
                <c:pt idx="5">
                  <c:v>267868.77550000005</c:v>
                </c:pt>
                <c:pt idx="6">
                  <c:v>266358.3665</c:v>
                </c:pt>
                <c:pt idx="7">
                  <c:v>259604.23749999999</c:v>
                </c:pt>
                <c:pt idx="8">
                  <c:v>254224.984</c:v>
                </c:pt>
                <c:pt idx="9">
                  <c:v>250878.62649999993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0-4CF2-ADE5-8B43398A1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9915344"/>
        <c:axId val="1301846320"/>
      </c:barChart>
      <c:catAx>
        <c:axId val="129991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01846320"/>
        <c:crosses val="autoZero"/>
        <c:auto val="1"/>
        <c:lblAlgn val="ctr"/>
        <c:lblOffset val="100"/>
        <c:noMultiLvlLbl val="0"/>
      </c:catAx>
      <c:valAx>
        <c:axId val="130184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91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[Sprzedaz detaliczna.xlsx]Analiza!Przychód wg regionu i segmentu klienta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>
                <a:latin typeface="Arial" panose="020B0604020202020204" pitchFamily="34" charset="0"/>
                <a:cs typeface="Arial" panose="020B0604020202020204" pitchFamily="34" charset="0"/>
              </a:rPr>
              <a:t>Przychód wg regionów</a:t>
            </a:r>
            <a:endParaRPr lang="en-US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Analiza!$K$3:$K$4</c:f>
              <c:strCache>
                <c:ptCount val="1"/>
                <c:pt idx="0">
                  <c:v>Biznesowy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76-4C65-8C64-F6AAC1A7A0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76-4C65-8C64-F6AAC1A7A0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76-4C65-8C64-F6AAC1A7A0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76-4C65-8C64-F6AAC1A7A0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76-4C65-8C64-F6AAC1A7A004}"/>
              </c:ext>
            </c:extLst>
          </c:dPt>
          <c:cat>
            <c:strRef>
              <c:f>Analiza!$J$5:$J$10</c:f>
              <c:strCache>
                <c:ptCount val="5"/>
                <c:pt idx="0">
                  <c:v>Centrum</c:v>
                </c:pt>
                <c:pt idx="1">
                  <c:v>Południe</c:v>
                </c:pt>
                <c:pt idx="2">
                  <c:v>Północ</c:v>
                </c:pt>
                <c:pt idx="3">
                  <c:v>Wschód</c:v>
                </c:pt>
                <c:pt idx="4">
                  <c:v>Zachód</c:v>
                </c:pt>
              </c:strCache>
            </c:strRef>
          </c:cat>
          <c:val>
            <c:numRef>
              <c:f>Analiza!$K$5:$K$10</c:f>
              <c:numCache>
                <c:formatCode>_-* #\ ##0\ [$zł-415]_-;\-* #\ ##0\ [$zł-415]_-;_-* "-"??\ [$zł-415]_-;_-@_-</c:formatCode>
                <c:ptCount val="5"/>
                <c:pt idx="0">
                  <c:v>138148.20249999998</c:v>
                </c:pt>
                <c:pt idx="1">
                  <c:v>732608.92049999966</c:v>
                </c:pt>
                <c:pt idx="2">
                  <c:v>393303.07600000006</c:v>
                </c:pt>
                <c:pt idx="3">
                  <c:v>1242983.4274999993</c:v>
                </c:pt>
                <c:pt idx="4">
                  <c:v>574584.05249999987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76-4C65-8C64-F6AAC1A7A004}"/>
            </c:ext>
          </c:extLst>
        </c:ser>
        <c:ser>
          <c:idx val="1"/>
          <c:order val="1"/>
          <c:tx>
            <c:strRef>
              <c:f>Analiza!$L$3:$L$4</c:f>
              <c:strCache>
                <c:ptCount val="1"/>
                <c:pt idx="0">
                  <c:v>Detaliczny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E9-4ED8-B62B-F67C36B748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E9-4ED8-B62B-F67C36B748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E9-4ED8-B62B-F67C36B748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E9-4ED8-B62B-F67C36B748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E9-4ED8-B62B-F67C36B748DA}"/>
              </c:ext>
            </c:extLst>
          </c:dPt>
          <c:cat>
            <c:strRef>
              <c:f>Analiza!$J$5:$J$10</c:f>
              <c:strCache>
                <c:ptCount val="5"/>
                <c:pt idx="0">
                  <c:v>Centrum</c:v>
                </c:pt>
                <c:pt idx="1">
                  <c:v>Południe</c:v>
                </c:pt>
                <c:pt idx="2">
                  <c:v>Północ</c:v>
                </c:pt>
                <c:pt idx="3">
                  <c:v>Wschód</c:v>
                </c:pt>
                <c:pt idx="4">
                  <c:v>Zachód</c:v>
                </c:pt>
              </c:strCache>
            </c:strRef>
          </c:cat>
          <c:val>
            <c:numRef>
              <c:f>Analiza!$L$5:$L$10</c:f>
              <c:numCache>
                <c:formatCode>_-* #\ ##0\ [$zł-415]_-;\-* #\ ##0\ [$zł-415]_-;_-* "-"??\ [$zł-415]_-;_-@_-</c:formatCode>
                <c:ptCount val="5"/>
                <c:pt idx="0">
                  <c:v>214688.63750000004</c:v>
                </c:pt>
                <c:pt idx="1">
                  <c:v>511086.32399999991</c:v>
                </c:pt>
                <c:pt idx="2">
                  <c:v>378286.41300000006</c:v>
                </c:pt>
                <c:pt idx="3">
                  <c:v>1407694.0070000011</c:v>
                </c:pt>
                <c:pt idx="4">
                  <c:v>631774.91099999985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06E-49C0-ACC7-46E49525977F}"/>
            </c:ext>
          </c:extLst>
        </c:ser>
        <c:ser>
          <c:idx val="2"/>
          <c:order val="2"/>
          <c:tx>
            <c:strRef>
              <c:f>Analiza!$M$3:$M$4</c:f>
              <c:strCache>
                <c:ptCount val="1"/>
                <c:pt idx="0">
                  <c:v>VIP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E9-4ED8-B62B-F67C36B748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E9-4ED8-B62B-F67C36B748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E9-4ED8-B62B-F67C36B748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8E9-4ED8-B62B-F67C36B748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8E9-4ED8-B62B-F67C36B748DA}"/>
              </c:ext>
            </c:extLst>
          </c:dPt>
          <c:cat>
            <c:strRef>
              <c:f>Analiza!$J$5:$J$10</c:f>
              <c:strCache>
                <c:ptCount val="5"/>
                <c:pt idx="0">
                  <c:v>Centrum</c:v>
                </c:pt>
                <c:pt idx="1">
                  <c:v>Południe</c:v>
                </c:pt>
                <c:pt idx="2">
                  <c:v>Północ</c:v>
                </c:pt>
                <c:pt idx="3">
                  <c:v>Wschód</c:v>
                </c:pt>
                <c:pt idx="4">
                  <c:v>Zachód</c:v>
                </c:pt>
              </c:strCache>
            </c:strRef>
          </c:cat>
          <c:val>
            <c:numRef>
              <c:f>Analiza!$M$5:$M$10</c:f>
              <c:numCache>
                <c:formatCode>_-* #\ ##0\ [$zł-415]_-;\-* #\ ##0\ [$zł-415]_-;_-* "-"??\ [$zł-415]_-;_-@_-</c:formatCode>
                <c:ptCount val="5"/>
                <c:pt idx="0">
                  <c:v>187691.44</c:v>
                </c:pt>
                <c:pt idx="1">
                  <c:v>814064.79900000035</c:v>
                </c:pt>
                <c:pt idx="2">
                  <c:v>320920.10700000002</c:v>
                </c:pt>
                <c:pt idx="3">
                  <c:v>1522514.3470000001</c:v>
                </c:pt>
                <c:pt idx="4">
                  <c:v>514985.67050000012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06E-49C0-ACC7-46E495259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504824</xdr:colOff>
      <xdr:row>3</xdr:row>
      <xdr:rowOff>148500</xdr:rowOff>
    </xdr:to>
    <xdr:grpSp>
      <xdr:nvGrpSpPr>
        <xdr:cNvPr id="40" name="Grupa 39">
          <a:extLst>
            <a:ext uri="{FF2B5EF4-FFF2-40B4-BE49-F238E27FC236}">
              <a16:creationId xmlns:a16="http://schemas.microsoft.com/office/drawing/2014/main" id="{FAFE7F27-EC52-789D-232F-5690B6B45C04}"/>
            </a:ext>
          </a:extLst>
        </xdr:cNvPr>
        <xdr:cNvGrpSpPr/>
      </xdr:nvGrpSpPr>
      <xdr:grpSpPr>
        <a:xfrm>
          <a:off x="0" y="0"/>
          <a:ext cx="15375030" cy="720000"/>
          <a:chOff x="3309525" y="412499"/>
          <a:chExt cx="4320251" cy="723992"/>
        </a:xfrm>
      </xdr:grpSpPr>
      <xdr:sp macro="" textlink="">
        <xdr:nvSpPr>
          <xdr:cNvPr id="7" name="Prostokąt 6">
            <a:extLst>
              <a:ext uri="{FF2B5EF4-FFF2-40B4-BE49-F238E27FC236}">
                <a16:creationId xmlns:a16="http://schemas.microsoft.com/office/drawing/2014/main" id="{420D3473-E032-38B8-FED1-66ECDD2A7737}"/>
              </a:ext>
            </a:extLst>
          </xdr:cNvPr>
          <xdr:cNvSpPr/>
        </xdr:nvSpPr>
        <xdr:spPr>
          <a:xfrm>
            <a:off x="3309525" y="412499"/>
            <a:ext cx="4320000" cy="7200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  <xdr:sp macro="" textlink="$A$1">
        <xdr:nvSpPr>
          <xdr:cNvPr id="9" name="pole tekstowe 8">
            <a:extLst>
              <a:ext uri="{FF2B5EF4-FFF2-40B4-BE49-F238E27FC236}">
                <a16:creationId xmlns:a16="http://schemas.microsoft.com/office/drawing/2014/main" id="{CD504076-E947-466E-B06A-A59E524183E4}"/>
              </a:ext>
            </a:extLst>
          </xdr:cNvPr>
          <xdr:cNvSpPr txBox="1"/>
        </xdr:nvSpPr>
        <xdr:spPr>
          <a:xfrm>
            <a:off x="3309776" y="776491"/>
            <a:ext cx="432000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A27A997F-578E-4279-898E-996644F9B24D}" type="TxLink">
              <a:rPr lang="en-US" sz="2000" b="0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2023–2025</a:t>
            </a:fld>
            <a:endParaRPr lang="pl-PL" sz="2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pole tekstowe 7">
            <a:extLst>
              <a:ext uri="{FF2B5EF4-FFF2-40B4-BE49-F238E27FC236}">
                <a16:creationId xmlns:a16="http://schemas.microsoft.com/office/drawing/2014/main" id="{A2372CB8-B7C6-34C2-92E3-5F5E5AB6BCC0}"/>
              </a:ext>
            </a:extLst>
          </xdr:cNvPr>
          <xdr:cNvSpPr txBox="1"/>
        </xdr:nvSpPr>
        <xdr:spPr>
          <a:xfrm>
            <a:off x="3309776" y="412501"/>
            <a:ext cx="432000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l-PL" sz="200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Analiza sprzedaży detalicznej</a:t>
            </a:r>
            <a:endParaRPr lang="pl-PL" sz="2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12</xdr:row>
      <xdr:rowOff>33504</xdr:rowOff>
    </xdr:from>
    <xdr:to>
      <xdr:col>21</xdr:col>
      <xdr:colOff>504825</xdr:colOff>
      <xdr:row>15</xdr:row>
      <xdr:rowOff>183900</xdr:rowOff>
    </xdr:to>
    <xdr:grpSp>
      <xdr:nvGrpSpPr>
        <xdr:cNvPr id="11" name="Grupa 10">
          <a:extLst>
            <a:ext uri="{FF2B5EF4-FFF2-40B4-BE49-F238E27FC236}">
              <a16:creationId xmlns:a16="http://schemas.microsoft.com/office/drawing/2014/main" id="{76143D9A-0969-DE7D-7BD5-29A13A186F69}"/>
            </a:ext>
          </a:extLst>
        </xdr:cNvPr>
        <xdr:cNvGrpSpPr/>
      </xdr:nvGrpSpPr>
      <xdr:grpSpPr>
        <a:xfrm>
          <a:off x="0" y="2319504"/>
          <a:ext cx="15375031" cy="721896"/>
          <a:chOff x="-7" y="757404"/>
          <a:chExt cx="14576707" cy="721896"/>
        </a:xfrm>
      </xdr:grpSpPr>
      <xdr:grpSp>
        <xdr:nvGrpSpPr>
          <xdr:cNvPr id="33" name="Grupa 32">
            <a:extLst>
              <a:ext uri="{FF2B5EF4-FFF2-40B4-BE49-F238E27FC236}">
                <a16:creationId xmlns:a16="http://schemas.microsoft.com/office/drawing/2014/main" id="{C7CAFA3C-93FF-BA3F-D9D4-FBBDC93CACDC}"/>
              </a:ext>
            </a:extLst>
          </xdr:cNvPr>
          <xdr:cNvGrpSpPr/>
        </xdr:nvGrpSpPr>
        <xdr:grpSpPr>
          <a:xfrm>
            <a:off x="-7" y="759300"/>
            <a:ext cx="2880007" cy="720000"/>
            <a:chOff x="3795703" y="4197825"/>
            <a:chExt cx="2160007" cy="720000"/>
          </a:xfrm>
        </xdr:grpSpPr>
        <xdr:sp macro="" textlink="$B$1">
          <xdr:nvSpPr>
            <xdr:cNvPr id="15" name="pole tekstowe 14">
              <a:extLst>
                <a:ext uri="{FF2B5EF4-FFF2-40B4-BE49-F238E27FC236}">
                  <a16:creationId xmlns:a16="http://schemas.microsoft.com/office/drawing/2014/main" id="{9EDBE14A-7CC5-9219-299B-5FF17AFAFF36}"/>
                </a:ext>
              </a:extLst>
            </xdr:cNvPr>
            <xdr:cNvSpPr txBox="1"/>
          </xdr:nvSpPr>
          <xdr:spPr>
            <a:xfrm>
              <a:off x="3795703" y="4543256"/>
              <a:ext cx="2155248" cy="374569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4A18BDB4-212D-408D-867C-4B8EA4B441E7}" type="TxLink">
                <a:rPr lang="en-US" sz="20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 9 585 334 zł </a:t>
              </a:fld>
              <a:endParaRPr lang="pl-PL" sz="2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6" name="pole tekstowe 15">
              <a:extLst>
                <a:ext uri="{FF2B5EF4-FFF2-40B4-BE49-F238E27FC236}">
                  <a16:creationId xmlns:a16="http://schemas.microsoft.com/office/drawing/2014/main" id="{DD2CEE5E-4F82-BBBF-E1FB-8B242AD33259}"/>
                </a:ext>
              </a:extLst>
            </xdr:cNvPr>
            <xdr:cNvSpPr txBox="1"/>
          </xdr:nvSpPr>
          <xdr:spPr>
            <a:xfrm>
              <a:off x="3795708" y="4197825"/>
              <a:ext cx="2160002" cy="360001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pl-PL" sz="200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Przychód</a:t>
              </a:r>
              <a:endParaRPr lang="pl-PL" sz="2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4" name="Grupa 33">
            <a:extLst>
              <a:ext uri="{FF2B5EF4-FFF2-40B4-BE49-F238E27FC236}">
                <a16:creationId xmlns:a16="http://schemas.microsoft.com/office/drawing/2014/main" id="{B41A6A00-1958-49E6-FD32-4DADAA259E77}"/>
              </a:ext>
            </a:extLst>
          </xdr:cNvPr>
          <xdr:cNvGrpSpPr/>
        </xdr:nvGrpSpPr>
        <xdr:grpSpPr>
          <a:xfrm>
            <a:off x="2924176" y="765168"/>
            <a:ext cx="2880003" cy="710475"/>
            <a:chOff x="4157650" y="3241668"/>
            <a:chExt cx="2160002" cy="708980"/>
          </a:xfrm>
        </xdr:grpSpPr>
        <xdr:sp macro="" textlink="$C$1">
          <xdr:nvSpPr>
            <xdr:cNvPr id="20" name="pole tekstowe 19">
              <a:extLst>
                <a:ext uri="{FF2B5EF4-FFF2-40B4-BE49-F238E27FC236}">
                  <a16:creationId xmlns:a16="http://schemas.microsoft.com/office/drawing/2014/main" id="{71C68B97-49EF-4BA6-CAAC-455C432F83A5}"/>
                </a:ext>
              </a:extLst>
            </xdr:cNvPr>
            <xdr:cNvSpPr txBox="1"/>
          </xdr:nvSpPr>
          <xdr:spPr>
            <a:xfrm>
              <a:off x="4157652" y="3590648"/>
              <a:ext cx="2160000" cy="360000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2D6079FE-C5A0-4442-ADC8-B04551432A9A}" type="TxLink">
                <a:rPr lang="en-US" sz="20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pPr marL="0" indent="0" algn="ctr"/>
                <a:t>24,54%</a:t>
              </a:fld>
              <a:endParaRPr lang="pl-PL" sz="2000" b="0" i="0" u="none" strike="noStrike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1" name="pole tekstowe 20">
              <a:extLst>
                <a:ext uri="{FF2B5EF4-FFF2-40B4-BE49-F238E27FC236}">
                  <a16:creationId xmlns:a16="http://schemas.microsoft.com/office/drawing/2014/main" id="{B4932491-3969-297A-CDD6-969270936326}"/>
                </a:ext>
              </a:extLst>
            </xdr:cNvPr>
            <xdr:cNvSpPr txBox="1"/>
          </xdr:nvSpPr>
          <xdr:spPr>
            <a:xfrm>
              <a:off x="4157650" y="3241668"/>
              <a:ext cx="2160000" cy="360000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pl-PL" sz="200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Dochód</a:t>
              </a:r>
            </a:p>
          </xdr:txBody>
        </xdr:sp>
      </xdr:grpSp>
      <xdr:grpSp>
        <xdr:nvGrpSpPr>
          <xdr:cNvPr id="35" name="Grupa 34">
            <a:extLst>
              <a:ext uri="{FF2B5EF4-FFF2-40B4-BE49-F238E27FC236}">
                <a16:creationId xmlns:a16="http://schemas.microsoft.com/office/drawing/2014/main" id="{D8104144-BECB-07F8-FC00-EBB6ED75AD2F}"/>
              </a:ext>
            </a:extLst>
          </xdr:cNvPr>
          <xdr:cNvGrpSpPr/>
        </xdr:nvGrpSpPr>
        <xdr:grpSpPr>
          <a:xfrm>
            <a:off x="5848350" y="765160"/>
            <a:ext cx="2880000" cy="710475"/>
            <a:chOff x="6300777" y="3841705"/>
            <a:chExt cx="2160000" cy="708101"/>
          </a:xfrm>
        </xdr:grpSpPr>
        <xdr:sp macro="" textlink="$D$1">
          <xdr:nvSpPr>
            <xdr:cNvPr id="25" name="pole tekstowe 24">
              <a:extLst>
                <a:ext uri="{FF2B5EF4-FFF2-40B4-BE49-F238E27FC236}">
                  <a16:creationId xmlns:a16="http://schemas.microsoft.com/office/drawing/2014/main" id="{FF42CCC3-0458-3346-5FEE-66723F7B6B0F}"/>
                </a:ext>
              </a:extLst>
            </xdr:cNvPr>
            <xdr:cNvSpPr txBox="1"/>
          </xdr:nvSpPr>
          <xdr:spPr>
            <a:xfrm>
              <a:off x="6300777" y="4189806"/>
              <a:ext cx="2160000" cy="360000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12331ED8-C176-41C7-A417-B3634AE40F0E}" type="TxLink">
                <a:rPr lang="en-US" sz="20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1570</a:t>
              </a:fld>
              <a:endParaRPr lang="pl-PL" sz="2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6" name="pole tekstowe 25">
              <a:extLst>
                <a:ext uri="{FF2B5EF4-FFF2-40B4-BE49-F238E27FC236}">
                  <a16:creationId xmlns:a16="http://schemas.microsoft.com/office/drawing/2014/main" id="{5F7C8A07-EF15-9C0A-BB82-15413FD69BBC}"/>
                </a:ext>
              </a:extLst>
            </xdr:cNvPr>
            <xdr:cNvSpPr txBox="1"/>
          </xdr:nvSpPr>
          <xdr:spPr>
            <a:xfrm>
              <a:off x="6300777" y="3841705"/>
              <a:ext cx="2160000" cy="360001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pl-PL" sz="20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Liczba transakcji</a:t>
              </a:r>
            </a:p>
          </xdr:txBody>
        </xdr:sp>
      </xdr:grpSp>
      <xdr:grpSp>
        <xdr:nvGrpSpPr>
          <xdr:cNvPr id="36" name="Grupa 35">
            <a:extLst>
              <a:ext uri="{FF2B5EF4-FFF2-40B4-BE49-F238E27FC236}">
                <a16:creationId xmlns:a16="http://schemas.microsoft.com/office/drawing/2014/main" id="{DDD6A1F2-3AD7-9DF2-415D-8E4B8A3E07BE}"/>
              </a:ext>
            </a:extLst>
          </xdr:cNvPr>
          <xdr:cNvGrpSpPr/>
        </xdr:nvGrpSpPr>
        <xdr:grpSpPr>
          <a:xfrm>
            <a:off x="8772525" y="757404"/>
            <a:ext cx="2880043" cy="720000"/>
            <a:chOff x="8181932" y="2700504"/>
            <a:chExt cx="2880043" cy="716482"/>
          </a:xfrm>
        </xdr:grpSpPr>
        <xdr:sp macro="" textlink="$E$1">
          <xdr:nvSpPr>
            <xdr:cNvPr id="30" name="pole tekstowe 29">
              <a:extLst>
                <a:ext uri="{FF2B5EF4-FFF2-40B4-BE49-F238E27FC236}">
                  <a16:creationId xmlns:a16="http://schemas.microsoft.com/office/drawing/2014/main" id="{15040C8E-6AB3-ED0C-0636-BD947F13F2A2}"/>
                </a:ext>
              </a:extLst>
            </xdr:cNvPr>
            <xdr:cNvSpPr txBox="1"/>
          </xdr:nvSpPr>
          <xdr:spPr>
            <a:xfrm>
              <a:off x="8181932" y="3056986"/>
              <a:ext cx="2880000" cy="360000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EB44FEA8-5F11-4B18-B188-A517CB54B30B}" type="TxLink">
                <a:rPr lang="en-US" sz="20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 6 105 zł </a:t>
              </a:fld>
              <a:endParaRPr lang="pl-PL" sz="2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1" name="pole tekstowe 30">
              <a:extLst>
                <a:ext uri="{FF2B5EF4-FFF2-40B4-BE49-F238E27FC236}">
                  <a16:creationId xmlns:a16="http://schemas.microsoft.com/office/drawing/2014/main" id="{AA9CD734-5BBB-EB99-55D8-DE9E0290F8CB}"/>
                </a:ext>
              </a:extLst>
            </xdr:cNvPr>
            <xdr:cNvSpPr txBox="1"/>
          </xdr:nvSpPr>
          <xdr:spPr>
            <a:xfrm>
              <a:off x="8181975" y="2700504"/>
              <a:ext cx="2880000" cy="360000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pl-PL" sz="20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Śr. wartość transakcji</a:t>
              </a:r>
            </a:p>
          </xdr:txBody>
        </xdr:sp>
      </xdr:grpSp>
      <xdr:grpSp>
        <xdr:nvGrpSpPr>
          <xdr:cNvPr id="37" name="Grupa 36">
            <a:extLst>
              <a:ext uri="{FF2B5EF4-FFF2-40B4-BE49-F238E27FC236}">
                <a16:creationId xmlns:a16="http://schemas.microsoft.com/office/drawing/2014/main" id="{FCDBA8F4-8EE0-41A6-A7E9-79D34BC3B5A0}"/>
              </a:ext>
            </a:extLst>
          </xdr:cNvPr>
          <xdr:cNvGrpSpPr/>
        </xdr:nvGrpSpPr>
        <xdr:grpSpPr>
          <a:xfrm>
            <a:off x="11696698" y="761999"/>
            <a:ext cx="2880002" cy="710476"/>
            <a:chOff x="6300777" y="3832212"/>
            <a:chExt cx="2160002" cy="708102"/>
          </a:xfrm>
        </xdr:grpSpPr>
        <xdr:sp macro="" textlink="$F$1">
          <xdr:nvSpPr>
            <xdr:cNvPr id="38" name="pole tekstowe 37">
              <a:extLst>
                <a:ext uri="{FF2B5EF4-FFF2-40B4-BE49-F238E27FC236}">
                  <a16:creationId xmlns:a16="http://schemas.microsoft.com/office/drawing/2014/main" id="{FA94EFD9-6BCE-03F3-246A-7B978AF02871}"/>
                </a:ext>
              </a:extLst>
            </xdr:cNvPr>
            <xdr:cNvSpPr txBox="1"/>
          </xdr:nvSpPr>
          <xdr:spPr>
            <a:xfrm>
              <a:off x="6300779" y="4180314"/>
              <a:ext cx="2160000" cy="360000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DA63339F-9A02-4E79-80F6-7B9F65EE5FDB}" type="TxLink">
                <a:rPr lang="en-US" sz="20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19</a:t>
              </a:fld>
              <a:endParaRPr lang="pl-PL" sz="2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9" name="pole tekstowe 38">
              <a:extLst>
                <a:ext uri="{FF2B5EF4-FFF2-40B4-BE49-F238E27FC236}">
                  <a16:creationId xmlns:a16="http://schemas.microsoft.com/office/drawing/2014/main" id="{3F336DC5-A669-9851-8A1B-91A3BCEDFDA8}"/>
                </a:ext>
              </a:extLst>
            </xdr:cNvPr>
            <xdr:cNvSpPr txBox="1"/>
          </xdr:nvSpPr>
          <xdr:spPr>
            <a:xfrm>
              <a:off x="6300777" y="3832212"/>
              <a:ext cx="2160000" cy="360001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pl-PL" sz="20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Liczba zwrotów</a:t>
              </a:r>
            </a:p>
          </xdr:txBody>
        </xdr:sp>
      </xdr:grpSp>
    </xdr:grpSp>
    <xdr:clientData/>
  </xdr:twoCellAnchor>
  <xdr:twoCellAnchor>
    <xdr:from>
      <xdr:col>0</xdr:col>
      <xdr:colOff>0</xdr:colOff>
      <xdr:row>16</xdr:row>
      <xdr:rowOff>38100</xdr:rowOff>
    </xdr:from>
    <xdr:to>
      <xdr:col>9</xdr:col>
      <xdr:colOff>66675</xdr:colOff>
      <xdr:row>31</xdr:row>
      <xdr:rowOff>60600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63B9323-43EC-423B-AB21-452748ED9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114300</xdr:rowOff>
    </xdr:from>
    <xdr:to>
      <xdr:col>9</xdr:col>
      <xdr:colOff>76200</xdr:colOff>
      <xdr:row>46</xdr:row>
      <xdr:rowOff>136800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4695222-4329-4629-8183-1EA321449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142874</xdr:colOff>
      <xdr:row>16</xdr:row>
      <xdr:rowOff>38100</xdr:rowOff>
    </xdr:from>
    <xdr:to>
      <xdr:col>21</xdr:col>
      <xdr:colOff>495674</xdr:colOff>
      <xdr:row>31</xdr:row>
      <xdr:rowOff>60600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BC5156D-D55E-4534-8D49-85F51EC7C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142875</xdr:colOff>
      <xdr:row>31</xdr:row>
      <xdr:rowOff>114300</xdr:rowOff>
    </xdr:from>
    <xdr:to>
      <xdr:col>21</xdr:col>
      <xdr:colOff>495299</xdr:colOff>
      <xdr:row>46</xdr:row>
      <xdr:rowOff>136800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2282DE9-2ED1-4A1B-8641-C773A002D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</xdr:row>
      <xdr:rowOff>190498</xdr:rowOff>
    </xdr:from>
    <xdr:to>
      <xdr:col>21</xdr:col>
      <xdr:colOff>502199</xdr:colOff>
      <xdr:row>11</xdr:row>
      <xdr:rowOff>177074</xdr:rowOff>
    </xdr:to>
    <xdr:grpSp>
      <xdr:nvGrpSpPr>
        <xdr:cNvPr id="19" name="Grupa 18">
          <a:extLst>
            <a:ext uri="{FF2B5EF4-FFF2-40B4-BE49-F238E27FC236}">
              <a16:creationId xmlns:a16="http://schemas.microsoft.com/office/drawing/2014/main" id="{4476B5B9-AAA7-8696-2C05-A123FE201283}"/>
            </a:ext>
          </a:extLst>
        </xdr:cNvPr>
        <xdr:cNvGrpSpPr/>
      </xdr:nvGrpSpPr>
      <xdr:grpSpPr>
        <a:xfrm>
          <a:off x="0" y="761998"/>
          <a:ext cx="15372405" cy="1510576"/>
          <a:chOff x="0" y="761998"/>
          <a:chExt cx="15437399" cy="1510576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Rok">
                <a:extLst>
                  <a:ext uri="{FF2B5EF4-FFF2-40B4-BE49-F238E27FC236}">
                    <a16:creationId xmlns:a16="http://schemas.microsoft.com/office/drawing/2014/main" id="{7CC074B6-7C4E-ABFB-8089-7CD38ECBE293}"/>
                  </a:ext>
                </a:extLst>
              </xdr:cNvPr>
              <xdr:cNvGraphicFramePr/>
            </xdr:nvGraphicFramePr>
            <xdr:xfrm>
              <a:off x="6743699" y="762000"/>
              <a:ext cx="2880000" cy="720000"/>
            </xdr:xfrm>
            <a:graphic>
              <a:graphicData uri="http://schemas.microsoft.com/office/drawing/2010/slicer">
                <sle:slicer xmlns:sle="http://schemas.microsoft.com/office/drawing/2010/slicer" name="Rok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715307" y="762000"/>
                <a:ext cx="2867875" cy="7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l-PL" sz="1100"/>
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Region">
                <a:extLst>
                  <a:ext uri="{FF2B5EF4-FFF2-40B4-BE49-F238E27FC236}">
                    <a16:creationId xmlns:a16="http://schemas.microsoft.com/office/drawing/2014/main" id="{49273DCF-45E0-6314-2480-E86D346D645A}"/>
                  </a:ext>
                </a:extLst>
              </xdr:cNvPr>
              <xdr:cNvGraphicFramePr/>
            </xdr:nvGraphicFramePr>
            <xdr:xfrm>
              <a:off x="9677399" y="771524"/>
              <a:ext cx="5760000" cy="720000"/>
            </xdr:xfrm>
            <a:graphic>
              <a:graphicData uri="http://schemas.microsoft.com/office/drawing/2010/slicer">
                <sle:slicer xmlns:sle="http://schemas.microsoft.com/office/drawing/2010/slicer" name="Regio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636656" y="771524"/>
                <a:ext cx="5735749" cy="7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l-PL" sz="1100"/>
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2" name="Segment_klienta">
                <a:extLst>
                  <a:ext uri="{FF2B5EF4-FFF2-40B4-BE49-F238E27FC236}">
                    <a16:creationId xmlns:a16="http://schemas.microsoft.com/office/drawing/2014/main" id="{0F04CCC0-11C1-557B-F504-74911D6E7F1B}"/>
                  </a:ext>
                </a:extLst>
              </xdr:cNvPr>
              <xdr:cNvGraphicFramePr/>
            </xdr:nvGraphicFramePr>
            <xdr:xfrm>
              <a:off x="6743698" y="1552574"/>
              <a:ext cx="2880000" cy="720000"/>
            </xdr:xfrm>
            <a:graphic>
              <a:graphicData uri="http://schemas.microsoft.com/office/drawing/2010/slicer">
                <sle:slicer xmlns:sle="http://schemas.microsoft.com/office/drawing/2010/slicer" name="Segment_klient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715306" y="1552574"/>
                <a:ext cx="2867875" cy="7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l-PL" sz="1100"/>
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3" name="Kategoria">
                <a:extLst>
                  <a:ext uri="{FF2B5EF4-FFF2-40B4-BE49-F238E27FC236}">
                    <a16:creationId xmlns:a16="http://schemas.microsoft.com/office/drawing/2014/main" id="{85CAC37E-356C-625D-EE27-341B100A16FE}"/>
                  </a:ext>
                </a:extLst>
              </xdr:cNvPr>
              <xdr:cNvGraphicFramePr/>
            </xdr:nvGraphicFramePr>
            <xdr:xfrm>
              <a:off x="9677399" y="1552574"/>
              <a:ext cx="5760000" cy="720000"/>
            </xdr:xfrm>
            <a:graphic>
              <a:graphicData uri="http://schemas.microsoft.com/office/drawing/2010/slicer">
                <sle:slicer xmlns:sle="http://schemas.microsoft.com/office/drawing/2010/slicer" name="Kategori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636656" y="1552574"/>
                <a:ext cx="5735749" cy="7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l-PL" sz="1100"/>
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18" name="Data">
                <a:extLst>
                  <a:ext uri="{FF2B5EF4-FFF2-40B4-BE49-F238E27FC236}">
                    <a16:creationId xmlns:a16="http://schemas.microsoft.com/office/drawing/2014/main" id="{0F62F1E0-66D1-C47C-8B3A-9E318E24A1D8}"/>
                  </a:ext>
                </a:extLst>
              </xdr:cNvPr>
              <xdr:cNvGraphicFramePr/>
            </xdr:nvGraphicFramePr>
            <xdr:xfrm>
              <a:off x="0" y="761998"/>
              <a:ext cx="6677025" cy="1495427"/>
            </xdr:xfrm>
            <a:graphic>
              <a:graphicData uri="http://schemas.microsoft.com/office/drawing/2012/timeslicer">
                <tsle:timeslicer name="Dat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761998"/>
                <a:ext cx="6648914" cy="149542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l-PL" sz="1100"/>
                  <a:t>Oś czasu: działa w programie Excel 2013 lub nowszym. Nie przenoś ani nie zmieniaj rozmiaru.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9527</xdr:colOff>
      <xdr:row>0</xdr:row>
      <xdr:rowOff>1</xdr:rowOff>
    </xdr:from>
    <xdr:to>
      <xdr:col>2</xdr:col>
      <xdr:colOff>9526</xdr:colOff>
      <xdr:row>2</xdr:row>
      <xdr:rowOff>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F87A9BD-9AC5-5F91-46E9-DA1EB9EA5FEC}"/>
            </a:ext>
          </a:extLst>
        </xdr:cNvPr>
        <xdr:cNvSpPr txBox="1"/>
      </xdr:nvSpPr>
      <xdr:spPr>
        <a:xfrm>
          <a:off x="9527" y="1"/>
          <a:ext cx="1847849" cy="380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l-PL" sz="1400" b="1">
              <a:solidFill>
                <a:schemeClr val="tx1"/>
              </a:solidFill>
              <a:latin typeface="+mn-lt"/>
              <a:ea typeface="+mn-ea"/>
              <a:cs typeface="+mn-cs"/>
            </a:rPr>
            <a:t>Przychód w czasie</a:t>
          </a:r>
          <a:endParaRPr lang="pl-PL" sz="1400"/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5</xdr:col>
      <xdr:colOff>0</xdr:colOff>
      <xdr:row>2</xdr:row>
      <xdr:rowOff>15000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8E079754-50DC-47F4-A70C-5200C5D35588}"/>
            </a:ext>
          </a:extLst>
        </xdr:cNvPr>
        <xdr:cNvSpPr txBox="1"/>
      </xdr:nvSpPr>
      <xdr:spPr>
        <a:xfrm>
          <a:off x="2105025" y="0"/>
          <a:ext cx="1838325" cy="3960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l-P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Przychód wg kategorii</a:t>
          </a:r>
          <a:endParaRPr lang="pl-PL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9525</xdr:colOff>
      <xdr:row>0</xdr:row>
      <xdr:rowOff>9525</xdr:rowOff>
    </xdr:from>
    <xdr:to>
      <xdr:col>8</xdr:col>
      <xdr:colOff>0</xdr:colOff>
      <xdr:row>2</xdr:row>
      <xdr:rowOff>1</xdr:rowOff>
    </xdr:to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573D394E-D46A-45B6-A8F8-9F7006316569}"/>
            </a:ext>
          </a:extLst>
        </xdr:cNvPr>
        <xdr:cNvSpPr txBox="1"/>
      </xdr:nvSpPr>
      <xdr:spPr>
        <a:xfrm>
          <a:off x="4200525" y="9525"/>
          <a:ext cx="2571750" cy="37147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l-P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 10 produktów</a:t>
          </a:r>
          <a:endParaRPr lang="pl-PL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</xdr:colOff>
      <xdr:row>0</xdr:row>
      <xdr:rowOff>1</xdr:rowOff>
    </xdr:from>
    <xdr:to>
      <xdr:col>14</xdr:col>
      <xdr:colOff>0</xdr:colOff>
      <xdr:row>2</xdr:row>
      <xdr:rowOff>1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66428EFC-855C-46A9-8DE3-7BC5CD431E3A}"/>
            </a:ext>
          </a:extLst>
        </xdr:cNvPr>
        <xdr:cNvSpPr txBox="1"/>
      </xdr:nvSpPr>
      <xdr:spPr>
        <a:xfrm>
          <a:off x="7019926" y="1"/>
          <a:ext cx="4962524" cy="3810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l-P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Przychód wg regionu i segmentu klienta</a:t>
          </a:r>
          <a:endParaRPr lang="pl-PL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2F0CC97B-E5E1-421D-BA80-DB6198003926}"/>
            </a:ext>
          </a:extLst>
        </xdr:cNvPr>
        <xdr:cNvSpPr txBox="1"/>
      </xdr:nvSpPr>
      <xdr:spPr>
        <a:xfrm>
          <a:off x="12230100" y="0"/>
          <a:ext cx="5076825" cy="3810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l-P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Dane sprzedażowe</a:t>
          </a:r>
          <a:endParaRPr lang="pl-PL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4953705" createdVersion="8" refreshedVersion="8" minRefreshableVersion="3" recordCount="0" supportSubquery="1" supportAdvancedDrill="1" xr:uid="{E72AF4F6-78BF-471B-B856-D8C9B2BC8B6E}">
  <cacheSource type="external" connectionId="2"/>
  <cacheFields count="10">
    <cacheField name="[Measures].[Sprzedaz_zakres_lat]" caption="Sprzedaz_zakres_lat" numFmtId="0" hierarchy="40" level="32767"/>
    <cacheField name="[Measures].[Przychod]" caption="Przychod" numFmtId="0" hierarchy="39" level="32767"/>
    <cacheField name="[Measures].[Liczba_transakcji]" caption="Liczba_transakcji" numFmtId="0" hierarchy="37" level="32767"/>
    <cacheField name="[Measures].[Srednia_wartosc_transakcji]" caption="Srednia_wartosc_transakcji" numFmtId="0" hierarchy="38" level="32767"/>
    <cacheField name="[Measures].[Liczba_zwrotow]" caption="Liczba_zwrotow" numFmtId="0" hierarchy="46" level="32767"/>
    <cacheField name="[Measures].[Dochod_proc]" caption="Dochod_proc" numFmtId="0" hierarchy="36" level="32767"/>
    <cacheField name="[Sprzedaż].[Region].[Region]" caption="Region" numFmtId="0" hierarchy="29" level="1">
      <sharedItems containsSemiMixedTypes="0" containsNonDate="0" containsString="0"/>
    </cacheField>
    <cacheField name="[Sprzedaż].[Rok].[Rok]" caption="Rok" numFmtId="0" hierarchy="23" level="1">
      <sharedItems containsSemiMixedTypes="0" containsNonDate="0" containsString="0"/>
    </cacheField>
    <cacheField name="[Klienci].[Segment_klienta].[Segment_klienta]" caption="Segment_klienta" numFmtId="0" hierarchy="10" level="1">
      <sharedItems containsSemiMixedTypes="0" containsNonDate="0" containsString="0"/>
    </cacheField>
    <cacheField name="[Produkty].[Kategoria].[Kategoria]" caption="Kategoria" numFmtId="0" hierarchy="15" level="1">
      <sharedItems containsSemiMixedTypes="0" containsNonDate="0" containsString="0"/>
    </cacheField>
  </cacheFields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2" memberValueDatatype="130" unbalanced="0">
      <fieldsUsage count="2">
        <fieldUsage x="-1"/>
        <fieldUsage x="8"/>
      </fieldsUsage>
    </cacheHierarchy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0" memberValueDatatype="130" unbalanced="0"/>
    <cacheHierarchy uniqueName="[Produkty].[Kategoria]" caption="Kategoria" attribute="1" defaultMemberUniqueName="[Produkty].[Kategoria].[All]" allUniqueName="[Produkty].[Kategoria].[All]" dimensionUniqueName="[Produkty]" displayFolder="" count="2" memberValueDatatype="130" unbalanced="0">
      <fieldsUsage count="2">
        <fieldUsage x="-1"/>
        <fieldUsage x="9"/>
      </fieldsUsage>
    </cacheHierarchy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2" memberValueDatatype="20" unbalanced="0">
      <fieldsUsage count="2">
        <fieldUsage x="-1"/>
        <fieldUsage x="7"/>
      </fieldsUsage>
    </cacheHierarchy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2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2" memberValueDatatype="130" unbalanced="0">
      <fieldsUsage count="2">
        <fieldUsage x="-1"/>
        <fieldUsage x="6"/>
      </fieldsUsage>
    </cacheHierarchy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 oneField="1">
      <fieldsUsage count="1">
        <fieldUsage x="5"/>
      </fieldsUsage>
    </cacheHierarchy>
    <cacheHierarchy uniqueName="[Measures].[Liczba_transakcji]" caption="Liczba_transakcji" measure="1" displayFolder="" measureGroup="Sprzedaż" count="0" oneField="1">
      <fieldsUsage count="1">
        <fieldUsage x="2"/>
      </fieldsUsage>
    </cacheHierarchy>
    <cacheHierarchy uniqueName="[Measures].[Srednia_wartosc_transakcji]" caption="Srednia_wartosc_transakcji" measure="1" displayFolder="" measureGroup="Sprzedaż" count="0" oneField="1">
      <fieldsUsage count="1">
        <fieldUsage x="3"/>
      </fieldsUsage>
    </cacheHierarchy>
    <cacheHierarchy uniqueName="[Measures].[Przychod]" caption="Przychod" measure="1" displayFolder="" measureGroup="Sprzedaż" count="0" oneField="1">
      <fieldsUsage count="1">
        <fieldUsage x="1"/>
      </fieldsUsage>
    </cacheHierarchy>
    <cacheHierarchy uniqueName="[Measures].[Sprzedaz_zakres_lat]" caption="Sprzedaz_zakres_lat" measure="1" displayFolder="" measureGroup="Sprzedaż" count="0" oneField="1">
      <fieldsUsage count="1">
        <fieldUsage x="0"/>
      </fieldsUsage>
    </cacheHierarchy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 oneField="1">
      <fieldsUsage count="1">
        <fieldUsage x="4"/>
      </fieldsUsage>
    </cacheHierarchy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Kalendarz" uniqueName="[Kalendarz]" caption="Kalendarz"/>
    <dimension name="Klienci" uniqueName="[Klienci]" caption="Klienci"/>
    <dimension measure="1" name="Measures" uniqueName="[Measures]" caption="Measures"/>
    <dimension name="Produkty" uniqueName="[Produkty]" caption="Produkty"/>
    <dimension name="Sprzedawcy" uniqueName="[Sprzedawcy]" caption="Sprzedawcy"/>
    <dimension name="Sprzedaż" uniqueName="[Sprzedaż]" caption="Sprzedaż"/>
  </dimensions>
  <measureGroups count="5">
    <measureGroup name="Kalendarz" caption="Kalendarz"/>
    <measureGroup name="Klienci" caption="Klienci"/>
    <measureGroup name="Produkty" caption="Produkty"/>
    <measureGroup name="Sprzedawcy" caption="Sprzedawcy"/>
    <measureGroup name="Sprzedaż" caption="Sprzedaż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5995367" createdVersion="8" refreshedVersion="8" minRefreshableVersion="3" recordCount="0" supportSubquery="1" supportAdvancedDrill="1" xr:uid="{0EA3E5F7-F0B5-496D-95D8-45D14D827D15}">
  <cacheSource type="external" connectionId="2"/>
  <cacheFields count="5">
    <cacheField name="[Produkty].[Kategoria].[Kategoria]" caption="Kategoria" numFmtId="0" hierarchy="15" level="1">
      <sharedItems count="6">
        <s v="AGD"/>
        <s v="Dom i Ogród"/>
        <s v="Elektronika"/>
        <s v="Sport"/>
        <s v="Uroda"/>
        <s v="Zabawki"/>
      </sharedItems>
      <extLst>
        <ext xmlns:x15="http://schemas.microsoft.com/office/spreadsheetml/2010/11/main" uri="{4F2E5C28-24EA-4eb8-9CBF-B6C8F9C3D259}">
          <x15:cachedUniqueNames>
            <x15:cachedUniqueName index="0" name="[Produkty].[Kategoria].&amp;[AGD]"/>
            <x15:cachedUniqueName index="1" name="[Produkty].[Kategoria].&amp;[Dom i Ogród]"/>
            <x15:cachedUniqueName index="2" name="[Produkty].[Kategoria].&amp;[Elektronika]"/>
            <x15:cachedUniqueName index="3" name="[Produkty].[Kategoria].&amp;[Sport]"/>
            <x15:cachedUniqueName index="4" name="[Produkty].[Kategoria].&amp;[Uroda]"/>
            <x15:cachedUniqueName index="5" name="[Produkty].[Kategoria].&amp;[Zabawki]"/>
          </x15:cachedUniqueNames>
        </ext>
      </extLst>
    </cacheField>
    <cacheField name="[Measures].[Przychod]" caption="Przychod" numFmtId="0" hierarchy="39" level="32767"/>
    <cacheField name="[Sprzedaż].[Region].[Region]" caption="Region" numFmtId="0" hierarchy="29" level="1">
      <sharedItems containsSemiMixedTypes="0" containsNonDate="0" containsString="0"/>
    </cacheField>
    <cacheField name="[Sprzedaż].[Rok].[Rok]" caption="Rok" numFmtId="0" hierarchy="23" level="1">
      <sharedItems containsSemiMixedTypes="0" containsNonDate="0" containsString="0"/>
    </cacheField>
    <cacheField name="[Klienci].[Segment_klienta].[Segment_klienta]" caption="Segment_klienta" numFmtId="0" hierarchy="10" level="1">
      <sharedItems containsSemiMixedTypes="0" containsNonDate="0" containsString="0"/>
    </cacheField>
  </cacheFields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2" memberValueDatatype="130" unbalanced="0">
      <fieldsUsage count="2">
        <fieldUsage x="-1"/>
        <fieldUsage x="4"/>
      </fieldsUsage>
    </cacheHierarchy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0" memberValueDatatype="130" unbalanced="0"/>
    <cacheHierarchy uniqueName="[Produkty].[Kategoria]" caption="Kategoria" attribute="1" defaultMemberUniqueName="[Produkty].[Kategoria].[All]" allUniqueName="[Produkty].[Kategoria].[All]" dimensionUniqueName="[Produkty]" displayFolder="" count="2" memberValueDatatype="130" unbalanced="0">
      <fieldsUsage count="2">
        <fieldUsage x="-1"/>
        <fieldUsage x="0"/>
      </fieldsUsage>
    </cacheHierarchy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2" memberValueDatatype="20" unbalanced="0">
      <fieldsUsage count="2">
        <fieldUsage x="-1"/>
        <fieldUsage x="3"/>
      </fieldsUsage>
    </cacheHierarchy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2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2" memberValueDatatype="130" unbalanced="0">
      <fieldsUsage count="2">
        <fieldUsage x="-1"/>
        <fieldUsage x="2"/>
      </fieldsUsage>
    </cacheHierarchy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/>
    <cacheHierarchy uniqueName="[Measures].[Liczba_transakcji]" caption="Liczba_transakcji" measure="1" displayFolder="" measureGroup="Sprzedaż" count="0"/>
    <cacheHierarchy uniqueName="[Measures].[Srednia_wartosc_transakcji]" caption="Srednia_wartosc_transakcji" measure="1" displayFolder="" measureGroup="Sprzedaż" count="0"/>
    <cacheHierarchy uniqueName="[Measures].[Przychod]" caption="Przychod" measure="1" displayFolder="" measureGroup="Sprzedaż" count="0" oneField="1">
      <fieldsUsage count="1">
        <fieldUsage x="1"/>
      </fieldsUsage>
    </cacheHierarchy>
    <cacheHierarchy uniqueName="[Measures].[Sprzedaz_zakres_lat]" caption="Sprzedaz_zakres_lat" measure="1" displayFolder="" measureGroup="Sprzedaż" count="0"/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/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Kalendarz" uniqueName="[Kalendarz]" caption="Kalendarz"/>
    <dimension name="Klienci" uniqueName="[Klienci]" caption="Klienci"/>
    <dimension measure="1" name="Measures" uniqueName="[Measures]" caption="Measures"/>
    <dimension name="Produkty" uniqueName="[Produkty]" caption="Produkty"/>
    <dimension name="Sprzedawcy" uniqueName="[Sprzedawcy]" caption="Sprzedawcy"/>
    <dimension name="Sprzedaż" uniqueName="[Sprzedaż]" caption="Sprzedaż"/>
  </dimensions>
  <measureGroups count="5">
    <measureGroup name="Kalendarz" caption="Kalendarz"/>
    <measureGroup name="Klienci" caption="Klienci"/>
    <measureGroup name="Produkty" caption="Produkty"/>
    <measureGroup name="Sprzedawcy" caption="Sprzedawcy"/>
    <measureGroup name="Sprzedaż" caption="Sprzedaż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7152775" createdVersion="8" refreshedVersion="8" minRefreshableVersion="3" recordCount="0" supportSubquery="1" supportAdvancedDrill="1" xr:uid="{CAAD1522-CC70-432A-8771-DF3C41DB1A12}">
  <cacheSource type="external" connectionId="2"/>
  <cacheFields count="5">
    <cacheField name="[Sprzedaż].[Region].[Region]" caption="Region" numFmtId="0" hierarchy="29" level="1">
      <sharedItems count="5">
        <s v="Centrum"/>
        <s v="Południe"/>
        <s v="Północ"/>
        <s v="Wschód"/>
        <s v="Zachód"/>
      </sharedItems>
      <extLst>
        <ext xmlns:x15="http://schemas.microsoft.com/office/spreadsheetml/2010/11/main" uri="{4F2E5C28-24EA-4eb8-9CBF-B6C8F9C3D259}">
          <x15:cachedUniqueNames>
            <x15:cachedUniqueName index="0" name="[Sprzedaż].[Region].&amp;[Centrum]"/>
            <x15:cachedUniqueName index="1" name="[Sprzedaż].[Region].&amp;[Południe]"/>
            <x15:cachedUniqueName index="2" name="[Sprzedaż].[Region].&amp;[Północ]"/>
            <x15:cachedUniqueName index="3" name="[Sprzedaż].[Region].&amp;[Wschód]"/>
            <x15:cachedUniqueName index="4" name="[Sprzedaż].[Region].&amp;[Zachód]"/>
          </x15:cachedUniqueNames>
        </ext>
      </extLst>
    </cacheField>
    <cacheField name="[Klienci].[Segment_klienta].[Segment_klienta]" caption="Segment_klienta" numFmtId="0" hierarchy="10" level="1">
      <sharedItems count="3">
        <s v="Biznesowy"/>
        <s v="Detaliczny"/>
        <s v="VIP"/>
      </sharedItems>
      <extLst>
        <ext xmlns:x15="http://schemas.microsoft.com/office/spreadsheetml/2010/11/main" uri="{4F2E5C28-24EA-4eb8-9CBF-B6C8F9C3D259}">
          <x15:cachedUniqueNames>
            <x15:cachedUniqueName index="0" name="[Klienci].[Segment_klienta].&amp;[Biznesowy]"/>
            <x15:cachedUniqueName index="1" name="[Klienci].[Segment_klienta].&amp;[Detaliczny]"/>
            <x15:cachedUniqueName index="2" name="[Klienci].[Segment_klienta].&amp;[VIP]"/>
          </x15:cachedUniqueNames>
        </ext>
      </extLst>
    </cacheField>
    <cacheField name="[Measures].[Przychod]" caption="Przychod" numFmtId="0" hierarchy="39" level="32767"/>
    <cacheField name="[Sprzedaż].[Rok].[Rok]" caption="Rok" numFmtId="0" hierarchy="23" level="1">
      <sharedItems containsSemiMixedTypes="0" containsNonDate="0" containsString="0"/>
    </cacheField>
    <cacheField name="[Produkty].[Kategoria].[Kategoria]" caption="Kategoria" numFmtId="0" hierarchy="15" level="1">
      <sharedItems containsSemiMixedTypes="0" containsNonDate="0" containsString="0"/>
    </cacheField>
  </cacheFields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2" memberValueDatatype="130" unbalanced="0">
      <fieldsUsage count="2">
        <fieldUsage x="-1"/>
        <fieldUsage x="1"/>
      </fieldsUsage>
    </cacheHierarchy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0" memberValueDatatype="130" unbalanced="0"/>
    <cacheHierarchy uniqueName="[Produkty].[Kategoria]" caption="Kategoria" attribute="1" defaultMemberUniqueName="[Produkty].[Kategoria].[All]" allUniqueName="[Produkty].[Kategoria].[All]" dimensionUniqueName="[Produkty]" displayFolder="" count="2" memberValueDatatype="130" unbalanced="0">
      <fieldsUsage count="2">
        <fieldUsage x="-1"/>
        <fieldUsage x="4"/>
      </fieldsUsage>
    </cacheHierarchy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2" memberValueDatatype="20" unbalanced="0">
      <fieldsUsage count="2">
        <fieldUsage x="-1"/>
        <fieldUsage x="3"/>
      </fieldsUsage>
    </cacheHierarchy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2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2" memberValueDatatype="130" unbalanced="0">
      <fieldsUsage count="2">
        <fieldUsage x="-1"/>
        <fieldUsage x="0"/>
      </fieldsUsage>
    </cacheHierarchy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/>
    <cacheHierarchy uniqueName="[Measures].[Liczba_transakcji]" caption="Liczba_transakcji" measure="1" displayFolder="" measureGroup="Sprzedaż" count="0"/>
    <cacheHierarchy uniqueName="[Measures].[Srednia_wartosc_transakcji]" caption="Srednia_wartosc_transakcji" measure="1" displayFolder="" measureGroup="Sprzedaż" count="0"/>
    <cacheHierarchy uniqueName="[Measures].[Przychod]" caption="Przychod" measure="1" displayFolder="" measureGroup="Sprzedaż" count="0" oneField="1">
      <fieldsUsage count="1">
        <fieldUsage x="2"/>
      </fieldsUsage>
    </cacheHierarchy>
    <cacheHierarchy uniqueName="[Measures].[Sprzedaz_zakres_lat]" caption="Sprzedaz_zakres_lat" measure="1" displayFolder="" measureGroup="Sprzedaż" count="0"/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/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Kalendarz" uniqueName="[Kalendarz]" caption="Kalendarz"/>
    <dimension name="Klienci" uniqueName="[Klienci]" caption="Klienci"/>
    <dimension measure="1" name="Measures" uniqueName="[Measures]" caption="Measures"/>
    <dimension name="Produkty" uniqueName="[Produkty]" caption="Produkty"/>
    <dimension name="Sprzedawcy" uniqueName="[Sprzedawcy]" caption="Sprzedawcy"/>
    <dimension name="Sprzedaż" uniqueName="[Sprzedaż]" caption="Sprzedaż"/>
  </dimensions>
  <measureGroups count="5">
    <measureGroup name="Kalendarz" caption="Kalendarz"/>
    <measureGroup name="Klienci" caption="Klienci"/>
    <measureGroup name="Produkty" caption="Produkty"/>
    <measureGroup name="Sprzedawcy" caption="Sprzedawcy"/>
    <measureGroup name="Sprzedaż" caption="Sprzedaż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8310184" createdVersion="8" refreshedVersion="8" minRefreshableVersion="3" recordCount="0" supportSubquery="1" supportAdvancedDrill="1" xr:uid="{8D0E9FE5-061C-4549-A324-0DAEBA99C1E4}">
  <cacheSource type="external" connectionId="2"/>
  <cacheFields count="6">
    <cacheField name="[Produkty].[Nazwa_Produktu].[Nazwa_Produktu]" caption="Nazwa_Produktu" numFmtId="0" hierarchy="14" level="1">
      <sharedItems count="10">
        <s v="Akcesoria model 1013"/>
        <s v="Dekoracj model 1027"/>
        <s v="Duże AGD model 1019"/>
        <s v="Klocki model 1048"/>
        <s v="Kosmetyki model 1061"/>
        <s v="Kosmetyki model 1062"/>
        <s v="Mebl model 1025"/>
        <s v="Odzież sportowa model 1047"/>
        <s v="Pielęgnacja model 1064"/>
        <s v="Smartfony model 1001"/>
      </sharedItems>
      <extLst>
        <ext xmlns:x15="http://schemas.microsoft.com/office/spreadsheetml/2010/11/main" uri="{4F2E5C28-24EA-4eb8-9CBF-B6C8F9C3D259}">
          <x15:cachedUniqueNames>
            <x15:cachedUniqueName index="0" name="[Produkty].[Nazwa_Produktu].&amp;[Akcesoria model 1013]"/>
            <x15:cachedUniqueName index="1" name="[Produkty].[Nazwa_Produktu].&amp;[Dekoracj model 1027]"/>
            <x15:cachedUniqueName index="2" name="[Produkty].[Nazwa_Produktu].&amp;[Duże AGD model 1019]"/>
            <x15:cachedUniqueName index="3" name="[Produkty].[Nazwa_Produktu].&amp;[Klocki model 1048]"/>
            <x15:cachedUniqueName index="4" name="[Produkty].[Nazwa_Produktu].&amp;[Kosmetyki model 1061]"/>
            <x15:cachedUniqueName index="5" name="[Produkty].[Nazwa_Produktu].&amp;[Kosmetyki model 1062]"/>
            <x15:cachedUniqueName index="6" name="[Produkty].[Nazwa_Produktu].&amp;[Mebl model 1025]"/>
            <x15:cachedUniqueName index="7" name="[Produkty].[Nazwa_Produktu].&amp;[Odzież sportowa model 1047]"/>
            <x15:cachedUniqueName index="8" name="[Produkty].[Nazwa_Produktu].&amp;[Pielęgnacja model 1064]"/>
            <x15:cachedUniqueName index="9" name="[Produkty].[Nazwa_Produktu].&amp;[Smartfony model 1001]"/>
          </x15:cachedUniqueNames>
        </ext>
      </extLst>
    </cacheField>
    <cacheField name="[Measures].[Przychod]" caption="Przychod" numFmtId="0" hierarchy="39" level="32767"/>
    <cacheField name="[Sprzedaż].[Region].[Region]" caption="Region" numFmtId="0" hierarchy="29" level="1">
      <sharedItems containsSemiMixedTypes="0" containsNonDate="0" containsString="0"/>
    </cacheField>
    <cacheField name="[Sprzedaż].[Rok].[Rok]" caption="Rok" numFmtId="0" hierarchy="23" level="1">
      <sharedItems containsSemiMixedTypes="0" containsNonDate="0" containsString="0"/>
    </cacheField>
    <cacheField name="[Klienci].[Segment_klienta].[Segment_klienta]" caption="Segment_klienta" numFmtId="0" hierarchy="10" level="1">
      <sharedItems containsSemiMixedTypes="0" containsNonDate="0" containsString="0"/>
    </cacheField>
    <cacheField name="[Produkty].[Kategoria].[Kategoria]" caption="Kategoria" numFmtId="0" hierarchy="15" level="1">
      <sharedItems containsSemiMixedTypes="0" containsNonDate="0" containsString="0"/>
    </cacheField>
  </cacheFields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2" memberValueDatatype="130" unbalanced="0">
      <fieldsUsage count="2">
        <fieldUsage x="-1"/>
        <fieldUsage x="4"/>
      </fieldsUsage>
    </cacheHierarchy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2" memberValueDatatype="130" unbalanced="0">
      <fieldsUsage count="2">
        <fieldUsage x="-1"/>
        <fieldUsage x="0"/>
      </fieldsUsage>
    </cacheHierarchy>
    <cacheHierarchy uniqueName="[Produkty].[Kategoria]" caption="Kategoria" attribute="1" defaultMemberUniqueName="[Produkty].[Kategoria].[All]" allUniqueName="[Produkty].[Kategoria].[All]" dimensionUniqueName="[Produkty]" displayFolder="" count="2" memberValueDatatype="130" unbalanced="0">
      <fieldsUsage count="2">
        <fieldUsage x="-1"/>
        <fieldUsage x="5"/>
      </fieldsUsage>
    </cacheHierarchy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2" memberValueDatatype="20" unbalanced="0">
      <fieldsUsage count="2">
        <fieldUsage x="-1"/>
        <fieldUsage x="3"/>
      </fieldsUsage>
    </cacheHierarchy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2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2" memberValueDatatype="130" unbalanced="0">
      <fieldsUsage count="2">
        <fieldUsage x="-1"/>
        <fieldUsage x="2"/>
      </fieldsUsage>
    </cacheHierarchy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/>
    <cacheHierarchy uniqueName="[Measures].[Liczba_transakcji]" caption="Liczba_transakcji" measure="1" displayFolder="" measureGroup="Sprzedaż" count="0"/>
    <cacheHierarchy uniqueName="[Measures].[Srednia_wartosc_transakcji]" caption="Srednia_wartosc_transakcji" measure="1" displayFolder="" measureGroup="Sprzedaż" count="0"/>
    <cacheHierarchy uniqueName="[Measures].[Przychod]" caption="Przychod" measure="1" displayFolder="" measureGroup="Sprzedaż" count="0" oneField="1">
      <fieldsUsage count="1">
        <fieldUsage x="1"/>
      </fieldsUsage>
    </cacheHierarchy>
    <cacheHierarchy uniqueName="[Measures].[Sprzedaz_zakres_lat]" caption="Sprzedaz_zakres_lat" measure="1" displayFolder="" measureGroup="Sprzedaż" count="0"/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/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Kalendarz" uniqueName="[Kalendarz]" caption="Kalendarz"/>
    <dimension name="Klienci" uniqueName="[Klienci]" caption="Klienci"/>
    <dimension measure="1" name="Measures" uniqueName="[Measures]" caption="Measures"/>
    <dimension name="Produkty" uniqueName="[Produkty]" caption="Produkty"/>
    <dimension name="Sprzedawcy" uniqueName="[Sprzedawcy]" caption="Sprzedawcy"/>
    <dimension name="Sprzedaż" uniqueName="[Sprzedaż]" caption="Sprzedaż"/>
  </dimensions>
  <measureGroups count="5">
    <measureGroup name="Kalendarz" caption="Kalendarz"/>
    <measureGroup name="Klienci" caption="Klienci"/>
    <measureGroup name="Produkty" caption="Produkty"/>
    <measureGroup name="Sprzedawcy" caption="Sprzedawcy"/>
    <measureGroup name="Sprzedaż" caption="Sprzedaż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9351854" createdVersion="8" refreshedVersion="8" minRefreshableVersion="3" recordCount="0" supportSubquery="1" supportAdvancedDrill="1" xr:uid="{283BB6C8-0E0B-4E03-BD2E-181AB85CF8B1}">
  <cacheSource type="external" connectionId="2"/>
  <cacheFields count="7">
    <cacheField name="[Kalendarz].[Rok].[Rok]" caption="Rok" numFmtId="0" hierarchy="2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Kalendarz].[Rok].&amp;[2023]"/>
            <x15:cachedUniqueName index="1" name="[Kalendarz].[Rok].&amp;[2024]"/>
            <x15:cachedUniqueName index="2" name="[Kalendarz].[Rok].&amp;[2025]"/>
          </x15:cachedUniqueNames>
        </ext>
      </extLst>
    </cacheField>
    <cacheField name="[Kalendarz].[Miesiac].[Miesiac]" caption="Miesiac" numFmtId="0" hierarchy="4" level="1">
      <sharedItems count="12">
        <s v="styczeń"/>
        <s v="luty"/>
        <s v="marzec"/>
        <s v="kwiecień"/>
        <s v="maj"/>
        <s v="czerwiec"/>
        <s v="lipiec"/>
        <s v="sierpień"/>
        <s v="wrzesień"/>
        <s v="październik"/>
        <s v="listopad"/>
        <s v="grudzień"/>
      </sharedItems>
      <extLst>
        <ext xmlns:x15="http://schemas.microsoft.com/office/spreadsheetml/2010/11/main" uri="{4F2E5C28-24EA-4eb8-9CBF-B6C8F9C3D259}">
          <x15:cachedUniqueNames>
            <x15:cachedUniqueName index="0" name="[Kalendarz].[Miesiac].&amp;[styczeń]"/>
            <x15:cachedUniqueName index="1" name="[Kalendarz].[Miesiac].&amp;[luty]"/>
            <x15:cachedUniqueName index="2" name="[Kalendarz].[Miesiac].&amp;[marzec]"/>
            <x15:cachedUniqueName index="3" name="[Kalendarz].[Miesiac].&amp;[kwiecień]"/>
            <x15:cachedUniqueName index="4" name="[Kalendarz].[Miesiac].&amp;[maj]"/>
            <x15:cachedUniqueName index="5" name="[Kalendarz].[Miesiac].&amp;[czerwiec]"/>
            <x15:cachedUniqueName index="6" name="[Kalendarz].[Miesiac].&amp;[lipiec]"/>
            <x15:cachedUniqueName index="7" name="[Kalendarz].[Miesiac].&amp;[sierpień]"/>
            <x15:cachedUniqueName index="8" name="[Kalendarz].[Miesiac].&amp;[wrzesień]"/>
            <x15:cachedUniqueName index="9" name="[Kalendarz].[Miesiac].&amp;[październik]"/>
            <x15:cachedUniqueName index="10" name="[Kalendarz].[Miesiac].&amp;[listopad]"/>
            <x15:cachedUniqueName index="11" name="[Kalendarz].[Miesiac].&amp;[grudzień]"/>
          </x15:cachedUniqueNames>
        </ext>
      </extLst>
    </cacheField>
    <cacheField name="[Measures].[Przychod]" caption="Przychod" numFmtId="0" hierarchy="39" level="32767"/>
    <cacheField name="[Sprzedaż].[Region].[Region]" caption="Region" numFmtId="0" hierarchy="29" level="1">
      <sharedItems containsSemiMixedTypes="0" containsNonDate="0" containsString="0"/>
    </cacheField>
    <cacheField name="[Sprzedaż].[Rok].[Rok]" caption="Rok" numFmtId="0" hierarchy="23" level="1">
      <sharedItems containsSemiMixedTypes="0" containsNonDate="0" containsString="0"/>
    </cacheField>
    <cacheField name="[Klienci].[Segment_klienta].[Segment_klienta]" caption="Segment_klienta" numFmtId="0" hierarchy="10" level="1">
      <sharedItems containsSemiMixedTypes="0" containsNonDate="0" containsString="0"/>
    </cacheField>
    <cacheField name="[Produkty].[Kategoria].[Kategoria]" caption="Kategoria" numFmtId="0" hierarchy="15" level="1">
      <sharedItems containsSemiMixedTypes="0" containsNonDate="0" containsString="0"/>
    </cacheField>
  </cacheFields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2" memberValueDatatype="20" unbalanced="0">
      <fieldsUsage count="2">
        <fieldUsage x="-1"/>
        <fieldUsage x="0"/>
      </fieldsUsage>
    </cacheHierarchy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2" memberValueDatatype="130" unbalanced="0">
      <fieldsUsage count="2">
        <fieldUsage x="-1"/>
        <fieldUsage x="1"/>
      </fieldsUsage>
    </cacheHierarchy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2" memberValueDatatype="130" unbalanced="0">
      <fieldsUsage count="2">
        <fieldUsage x="-1"/>
        <fieldUsage x="5"/>
      </fieldsUsage>
    </cacheHierarchy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0" memberValueDatatype="130" unbalanced="0"/>
    <cacheHierarchy uniqueName="[Produkty].[Kategoria]" caption="Kategoria" attribute="1" defaultMemberUniqueName="[Produkty].[Kategoria].[All]" allUniqueName="[Produkty].[Kategoria].[All]" dimensionUniqueName="[Produkty]" displayFolder="" count="2" memberValueDatatype="130" unbalanced="0">
      <fieldsUsage count="2">
        <fieldUsage x="-1"/>
        <fieldUsage x="6"/>
      </fieldsUsage>
    </cacheHierarchy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2" memberValueDatatype="20" unbalanced="0">
      <fieldsUsage count="2">
        <fieldUsage x="-1"/>
        <fieldUsage x="4"/>
      </fieldsUsage>
    </cacheHierarchy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2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2" memberValueDatatype="130" unbalanced="0">
      <fieldsUsage count="2">
        <fieldUsage x="-1"/>
        <fieldUsage x="3"/>
      </fieldsUsage>
    </cacheHierarchy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/>
    <cacheHierarchy uniqueName="[Measures].[Liczba_transakcji]" caption="Liczba_transakcji" measure="1" displayFolder="" measureGroup="Sprzedaż" count="0"/>
    <cacheHierarchy uniqueName="[Measures].[Srednia_wartosc_transakcji]" caption="Srednia_wartosc_transakcji" measure="1" displayFolder="" measureGroup="Sprzedaż" count="0"/>
    <cacheHierarchy uniqueName="[Measures].[Przychod]" caption="Przychod" measure="1" displayFolder="" measureGroup="Sprzedaż" count="0" oneField="1">
      <fieldsUsage count="1">
        <fieldUsage x="2"/>
      </fieldsUsage>
    </cacheHierarchy>
    <cacheHierarchy uniqueName="[Measures].[Sprzedaz_zakres_lat]" caption="Sprzedaz_zakres_lat" measure="1" displayFolder="" measureGroup="Sprzedaż" count="0"/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/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Kalendarz" uniqueName="[Kalendarz]" caption="Kalendarz"/>
    <dimension name="Klienci" uniqueName="[Klienci]" caption="Klienci"/>
    <dimension measure="1" name="Measures" uniqueName="[Measures]" caption="Measures"/>
    <dimension name="Produkty" uniqueName="[Produkty]" caption="Produkty"/>
    <dimension name="Sprzedawcy" uniqueName="[Sprzedawcy]" caption="Sprzedawcy"/>
    <dimension name="Sprzedaż" uniqueName="[Sprzedaż]" caption="Sprzedaż"/>
  </dimensions>
  <measureGroups count="5">
    <measureGroup name="Kalendarz" caption="Kalendarz"/>
    <measureGroup name="Klienci" caption="Klienci"/>
    <measureGroup name="Produkty" caption="Produkty"/>
    <measureGroup name="Sprzedawcy" caption="Sprzedawcy"/>
    <measureGroup name="Sprzedaż" caption="Sprzedaż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3333334" createdVersion="3" refreshedVersion="8" minRefreshableVersion="3" recordCount="0" supportSubquery="1" supportAdvancedDrill="1" xr:uid="{20A34F73-7904-441E-AD09-80E1BDC54E61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2" memberValueDatatype="130" unbalanced="0"/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0" memberValueDatatype="130" unbalanced="0"/>
    <cacheHierarchy uniqueName="[Produkty].[Kategoria]" caption="Kategoria" attribute="1" defaultMemberUniqueName="[Produkty].[Kategoria].[All]" allUniqueName="[Produkty].[Kategoria].[All]" dimensionUniqueName="[Produkty]" displayFolder="" count="2" memberValueDatatype="130" unbalanced="0"/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2" memberValueDatatype="20" unbalanced="0"/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0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2" memberValueDatatype="130" unbalanced="0"/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/>
    <cacheHierarchy uniqueName="[Measures].[Liczba_transakcji]" caption="Liczba_transakcji" measure="1" displayFolder="" measureGroup="Sprzedaż" count="0"/>
    <cacheHierarchy uniqueName="[Measures].[Srednia_wartosc_transakcji]" caption="Srednia_wartosc_transakcji" measure="1" displayFolder="" measureGroup="Sprzedaż" count="0"/>
    <cacheHierarchy uniqueName="[Measures].[Przychod]" caption="Przychod" measure="1" displayFolder="" measureGroup="Sprzedaż" count="0"/>
    <cacheHierarchy uniqueName="[Measures].[Sprzedaz_zakres_lat]" caption="Sprzedaz_zakres_lat" measure="1" displayFolder="" measureGroup="Sprzedaż" count="0"/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/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890641096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2.399783680557" createdVersion="3" refreshedVersion="8" minRefreshableVersion="3" recordCount="0" supportSubquery="1" supportAdvancedDrill="1" xr:uid="{2167A80C-F1E8-4138-89F9-3E9554A74CBE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Date Hierarchy]" caption="Date Hierarchy" time="1" defaultMemberUniqueName="[Kalendarz].[Date Hierarchy].[All]" allUniqueName="[Kalendarz].[Date Hierarchy].[All]" dimensionUniqueName="[Kalendarz]" displayFolder="" count="0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NrMiesiaca]" caption="NrMiesiaca" attribute="1" time="1" defaultMemberUniqueName="[Kalendarz].[NrMiesiaca].[All]" allUniqueName="[Kalendarz].[NrMiesiaca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MMM-YYYY]" caption="MMM-YYYY" attribute="1" time="1" defaultMemberUniqueName="[Kalendarz].[MMM-YYYY].[All]" allUniqueName="[Kalendarz].[MMM-YYYY].[All]" dimensionUniqueName="[Kalendarz]" displayFolder="" count="0" memberValueDatatype="130" unbalanced="0"/>
    <cacheHierarchy uniqueName="[Kalendarz].[NrDniaTygodnia]" caption="NrDniaTygodnia" attribute="1" time="1" defaultMemberUniqueName="[Kalendarz].[NrDniaTygodnia].[All]" allUniqueName="[Kalendarz].[NrDniaTygodnia].[All]" dimensionUniqueName="[Kalendarz]" displayFolder="" count="0" memberValueDatatype="2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Kwartal]" caption="Kwartal" attribute="1" time="1" defaultMemberUniqueName="[Kalendarz].[Kwartal].[All]" allUniqueName="[Kalendarz].[Kwartal].[All]" dimensionUniqueName="[Kalendarz]" displayFolder="" count="0" memberValueDatatype="130" unbalanced="0"/>
    <cacheHierarchy uniqueName="[Klienci].[ID_Klienta]" caption="ID_Klienta" attribute="1" defaultMemberUniqueName="[Klienci].[ID_Klienta].[All]" allUniqueName="[Klienci].[ID_Klienta].[All]" dimensionUniqueName="[Klienci]" displayFolder="" count="0" memberValueDatatype="20" unbalanced="0"/>
    <cacheHierarchy uniqueName="[Klienci].[Segment_klienta]" caption="Segment_klienta" attribute="1" defaultMemberUniqueName="[Klienci].[Segment_klienta].[All]" allUniqueName="[Klienci].[Segment_klienta].[All]" dimensionUniqueName="[Klienci]" displayFolder="" count="0" memberValueDatatype="130" unbalanced="0"/>
    <cacheHierarchy uniqueName="[Klienci].[Miasto]" caption="Miasto" attribute="1" defaultMemberUniqueName="[Klienci].[Miasto].[All]" allUniqueName="[Klienci].[Miasto].[All]" dimensionUniqueName="[Klienci]" displayFolder="" count="0" memberValueDatatype="130" unbalanced="0"/>
    <cacheHierarchy uniqueName="[Klienci].[Wojewodztwo]" caption="Wojewodztwo" attribute="1" defaultMemberUniqueName="[Klienci].[Wojewodztwo].[All]" allUniqueName="[Klienci].[Wojewodztwo].[All]" dimensionUniqueName="[Klienci]" displayFolder="" count="0" memberValueDatatype="130" unbalanced="0"/>
    <cacheHierarchy uniqueName="[Produkty].[ID_Produktu]" caption="ID_Produktu" attribute="1" defaultMemberUniqueName="[Produkty].[ID_Produktu].[All]" allUniqueName="[Produkty].[ID_Produktu].[All]" dimensionUniqueName="[Produkty]" displayFolder="" count="0" memberValueDatatype="20" unbalanced="0"/>
    <cacheHierarchy uniqueName="[Produkty].[Nazwa_Produktu]" caption="Nazwa_Produktu" attribute="1" defaultMemberUniqueName="[Produkty].[Nazwa_Produktu].[All]" allUniqueName="[Produkty].[Nazwa_Produktu].[All]" dimensionUniqueName="[Produkty]" displayFolder="" count="0" memberValueDatatype="130" unbalanced="0"/>
    <cacheHierarchy uniqueName="[Produkty].[Kategoria]" caption="Kategoria" attribute="1" defaultMemberUniqueName="[Produkty].[Kategoria].[All]" allUniqueName="[Produkty].[Kategoria].[All]" dimensionUniqueName="[Produkty]" displayFolder="" count="0" memberValueDatatype="130" unbalanced="0"/>
    <cacheHierarchy uniqueName="[Produkty].[Podkategoria]" caption="Podkategoria" attribute="1" defaultMemberUniqueName="[Produkty].[Podkategoria].[All]" allUniqueName="[Produkty].[Podkategoria].[All]" dimensionUniqueName="[Produkty]" displayFolder="" count="0" memberValueDatatype="130" unbalanced="0"/>
    <cacheHierarchy uniqueName="[Produkty].[Dostawca]" caption="Dostawca" attribute="1" defaultMemberUniqueName="[Produkty].[Dostawca].[All]" allUniqueName="[Produkty].[Dostawca].[All]" dimensionUniqueName="[Produkty]" displayFolder="" count="0" memberValueDatatype="130" unbalanced="0"/>
    <cacheHierarchy uniqueName="[Produkty].[Koszt_jednostkowy]" caption="Koszt_jednostkowy" attribute="1" defaultMemberUniqueName="[Produkty].[Koszt_jednostkowy].[All]" allUniqueName="[Produkty].[Koszt_jednostkowy].[All]" dimensionUniqueName="[Produkty]" displayFolder="" count="0" memberValueDatatype="5" unbalanced="0"/>
    <cacheHierarchy uniqueName="[Sprzedawcy].[ID_Sprzedawcy]" caption="ID_Sprzedawcy" attribute="1" defaultMemberUniqueName="[Sprzedawcy].[ID_Sprzedawcy].[All]" allUniqueName="[Sprzedawcy].[ID_Sprzedawcy].[All]" dimensionUniqueName="[Sprzedawcy]" displayFolder="" count="0" memberValueDatatype="20" unbalanced="0"/>
    <cacheHierarchy uniqueName="[Sprzedawcy].[Imie_Nazwisko]" caption="Imie_Nazwisko" attribute="1" defaultMemberUniqueName="[Sprzedawcy].[Imie_Nazwisko].[All]" allUniqueName="[Sprzedawcy].[Imie_Nazwisko].[All]" dimensionUniqueName="[Sprzedawcy]" displayFolder="" count="0" memberValueDatatype="130" unbalanced="0"/>
    <cacheHierarchy uniqueName="[Sprzedawcy].[Region]" caption="Region" attribute="1" defaultMemberUniqueName="[Sprzedawcy].[Region].[All]" allUniqueName="[Sprzedawcy].[Region].[All]" dimensionUniqueName="[Sprzedawcy]" displayFolder="" count="0" memberValueDatatype="130" unbalanced="0"/>
    <cacheHierarchy uniqueName="[Sprzedawcy].[Data_zatrudnienia]" caption="Data_zatrudnienia" attribute="1" time="1" defaultMemberUniqueName="[Sprzedawcy].[Data_zatrudnienia].[All]" allUniqueName="[Sprzedawcy].[Data_zatrudnienia].[All]" dimensionUniqueName="[Sprzedawcy]" displayFolder="" count="0" memberValueDatatype="7" unbalanced="0"/>
    <cacheHierarchy uniqueName="[Sprzedaż].[Rok]" caption="Rok" attribute="1" defaultMemberUniqueName="[Sprzedaż].[Rok].[All]" allUniqueName="[Sprzedaż].[Rok].[All]" dimensionUniqueName="[Sprzedaż]" displayFolder="" count="0" memberValueDatatype="20" unbalanced="0"/>
    <cacheHierarchy uniqueName="[Sprzedaż].[ID_Transakcji]" caption="ID_Transakcji" attribute="1" defaultMemberUniqueName="[Sprzedaż].[ID_Transakcji].[All]" allUniqueName="[Sprzedaż].[ID_Transakcji].[All]" dimensionUniqueName="[Sprzedaż]" displayFolder="" count="0" memberValueDatatype="20" unbalanced="0"/>
    <cacheHierarchy uniqueName="[Sprzedaż].[Data]" caption="Data" attribute="1" time="1" defaultMemberUniqueName="[Sprzedaż].[Data].[All]" allUniqueName="[Sprzedaż].[Data].[All]" dimensionUniqueName="[Sprzedaż]" displayFolder="" count="2" memberValueDatatype="7" unbalanced="0"/>
    <cacheHierarchy uniqueName="[Sprzedaż].[ID_Produktu]" caption="ID_Produktu" attribute="1" defaultMemberUniqueName="[Sprzedaż].[ID_Produktu].[All]" allUniqueName="[Sprzedaż].[ID_Produktu].[All]" dimensionUniqueName="[Sprzedaż]" displayFolder="" count="0" memberValueDatatype="20" unbalanced="0"/>
    <cacheHierarchy uniqueName="[Sprzedaż].[ID_Sprzedawcy]" caption="ID_Sprzedawcy" attribute="1" defaultMemberUniqueName="[Sprzedaż].[ID_Sprzedawcy].[All]" allUniqueName="[Sprzedaż].[ID_Sprzedawcy].[All]" dimensionUniqueName="[Sprzedaż]" displayFolder="" count="0" memberValueDatatype="20" unbalanced="0"/>
    <cacheHierarchy uniqueName="[Sprzedaż].[ID_Klienta]" caption="ID_Klienta" attribute="1" defaultMemberUniqueName="[Sprzedaż].[ID_Klienta].[All]" allUniqueName="[Sprzedaż].[ID_Klienta].[All]" dimensionUniqueName="[Sprzedaż]" displayFolder="" count="0" memberValueDatatype="20" unbalanced="0"/>
    <cacheHierarchy uniqueName="[Sprzedaż].[Region]" caption="Region" attribute="1" defaultMemberUniqueName="[Sprzedaż].[Region].[All]" allUniqueName="[Sprzedaż].[Region].[All]" dimensionUniqueName="[Sprzedaż]" displayFolder="" count="0" memberValueDatatype="130" unbalanced="0"/>
    <cacheHierarchy uniqueName="[Sprzedaż].[Ilosc]" caption="Ilosc" attribute="1" defaultMemberUniqueName="[Sprzedaż].[Ilosc].[All]" allUniqueName="[Sprzedaż].[Ilosc].[All]" dimensionUniqueName="[Sprzedaż]" displayFolder="" count="0" memberValueDatatype="20" unbalanced="0"/>
    <cacheHierarchy uniqueName="[Sprzedaż].[Cena_jednostkowa]" caption="Cena_jednostkowa" attribute="1" defaultMemberUniqueName="[Sprzedaż].[Cena_jednostkowa].[All]" allUniqueName="[Sprzedaż].[Cena_jednostkowa].[All]" dimensionUniqueName="[Sprzedaż]" displayFolder="" count="0" memberValueDatatype="5" unbalanced="0"/>
    <cacheHierarchy uniqueName="[Sprzedaż].[Rabat_proc]" caption="Rabat_proc" attribute="1" defaultMemberUniqueName="[Sprzedaż].[Rabat_proc].[All]" allUniqueName="[Sprzedaż].[Rabat_proc].[All]" dimensionUniqueName="[Sprzedaż]" displayFolder="" count="0" memberValueDatatype="20" unbalanced="0"/>
    <cacheHierarchy uniqueName="[Sprzedaż].[Typ_transakcji]" caption="Typ_transakcji" attribute="1" defaultMemberUniqueName="[Sprzedaż].[Typ_transakcji].[All]" allUniqueName="[Sprzedaż].[Typ_transakcji].[All]" dimensionUniqueName="[Sprzedaż]" displayFolder="" count="0" memberValueDatatype="130" unbalanced="0"/>
    <cacheHierarchy uniqueName="[Measures].[Koszt_wlasny]" caption="Koszt_wlasny" measure="1" displayFolder="" measureGroup="Sprzedaż" count="0"/>
    <cacheHierarchy uniqueName="[Measures].[Dochod]" caption="Dochod" measure="1" displayFolder="" measureGroup="Sprzedaż" count="0"/>
    <cacheHierarchy uniqueName="[Measures].[Dochod_proc]" caption="Dochod_proc" measure="1" displayFolder="" measureGroup="Sprzedaż" count="0"/>
    <cacheHierarchy uniqueName="[Measures].[Liczba_transakcji]" caption="Liczba_transakcji" measure="1" displayFolder="" measureGroup="Sprzedaż" count="0"/>
    <cacheHierarchy uniqueName="[Measures].[Srednia_wartosc_transakcji]" caption="Srednia_wartosc_transakcji" measure="1" displayFolder="" measureGroup="Sprzedaż" count="0"/>
    <cacheHierarchy uniqueName="[Measures].[Przychod]" caption="Przychod" measure="1" displayFolder="" measureGroup="Sprzedaż" count="0"/>
    <cacheHierarchy uniqueName="[Measures].[Sprzedaz_zakres_lat]" caption="Sprzedaz_zakres_lat" measure="1" displayFolder="" measureGroup="Sprzedaż" count="0"/>
    <cacheHierarchy uniqueName="[Measures].[Wartosc_udzielonych_rabatow]" caption="Wartosc_udzielonych_rabatow" measure="1" displayFolder="" measureGroup="Sprzedaż" count="0"/>
    <cacheHierarchy uniqueName="[Measures].[Sredni_rabat_proc]" caption="Sredni_rabat_proc" measure="1" displayFolder="" measureGroup="Sprzedaż" count="0"/>
    <cacheHierarchy uniqueName="[Measures].[Liczba_unikalnych_klientow]" caption="Liczba_unikalnych_klientow" measure="1" displayFolder="" measureGroup="Sprzedaż" count="0"/>
    <cacheHierarchy uniqueName="[Measures].[Przychod_na_klienta]" caption="Przychod_na_klienta" measure="1" displayFolder="" measureGroup="Sprzedaż" count="0"/>
    <cacheHierarchy uniqueName="[Measures].[Czestotliwosc_zakupow_na_klienta]" caption="Czestotliwosc_zakupow_na_klienta" measure="1" displayFolder="" measureGroup="Sprzedaż" count="0"/>
    <cacheHierarchy uniqueName="[Measures].[Liczba_zwrotow]" caption="Liczba_zwrotow" measure="1" displayFolder="" measureGroup="Sprzedaż" count="0"/>
    <cacheHierarchy uniqueName="[Measures].[Wskaznik_zwrotow_proc]" caption="Wskaznik_zwrotow_proc" measure="1" displayFolder="" measureGroup="Sprzedaż" count="0"/>
    <cacheHierarchy uniqueName="[Measures].[Wartosc_zwrotow]" caption="Wartosc_zwrotow" measure="1" displayFolder="" measureGroup="Sprzedaż" count="0"/>
    <cacheHierarchy uniqueName="[Measures].[__XL_Count Sprzedaż]" caption="__XL_Count Sprzedaż" measure="1" displayFolder="" measureGroup="Sprzedaż" count="0" hidden="1"/>
    <cacheHierarchy uniqueName="[Measures].[__XL_Count Produkty]" caption="__XL_Count Produkty" measure="1" displayFolder="" measureGroup="Produkty" count="0" hidden="1"/>
    <cacheHierarchy uniqueName="[Measures].[__XL_Count Sprzedawcy]" caption="__XL_Count Sprzedawcy" measure="1" displayFolder="" measureGroup="Sprzedawcy" count="0" hidden="1"/>
    <cacheHierarchy uniqueName="[Measures].[__XL_Count Klienci]" caption="__XL_Count Klienci" measure="1" displayFolder="" measureGroup="Klienci" count="0" hidden="1"/>
    <cacheHierarchy uniqueName="[Measures].[__XL_Count Calendar]" caption="__XL_Count Calendar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5958717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16DE3-CF6E-4DCD-8DB4-18F5CF94A293}" name="Przychód wg kategorii" cacheId="1" applyNumberFormats="0" applyBorderFormats="0" applyFontFormats="0" applyPatternFormats="0" applyAlignmentFormats="0" applyWidthHeightFormats="1" dataCaption="Wartości" tag="eef76c4c-d97e-4397-b846-27c31a18b73f" updatedVersion="8" minRefreshableVersion="5" useAutoFormatting="1" subtotalHiddenItems="1" itemPrintTitles="1" createdVersion="8" indent="0" outline="1" outlineData="1" multipleFieldFilters="0" chartFormat="13">
  <location ref="D3:E10" firstHeaderRow="1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zychód" fld="1" subtotal="count" baseField="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Liczba transakcji"/>
    <pivotHierarchy dragToRow="0" dragToCol="0" dragToPage="0" dragToData="1"/>
    <pivotHierarchy dragToRow="0" dragToCol="0" dragToPage="0" dragToData="1" caption="Przychó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kty]"/>
        <x15:activeTabTopLevelEntity name="[Sprzedaż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2B87C-51FC-4120-A7CD-2D6A3624BDE4}" name="Przychód w czasie" cacheId="4" applyNumberFormats="0" applyBorderFormats="0" applyFontFormats="0" applyPatternFormats="0" applyAlignmentFormats="0" applyWidthHeightFormats="1" dataCaption="Wartości" tag="8f565181-8d08-4b65-8394-edaf42efc7f1" updatedVersion="8" minRefreshableVersion="5" useAutoFormatting="1" subtotalHiddenItems="1" itemPrintTitles="1" createdVersion="8" indent="0" outline="1" outlineData="1" multipleFieldFilters="0" chartFormat="52">
  <location ref="A3:B43" firstHeaderRow="1" firstDataRow="1" firstDataCol="1"/>
  <pivotFields count="7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Przychód" fld="2" subtotal="count" baseField="0" baseItem="0"/>
  </dataFields>
  <formats count="6">
    <format dxfId="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0"/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0"/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0"/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Marza %"/>
    <pivotHierarchy dragToRow="0" dragToCol="0" dragToPage="0" dragToData="1"/>
    <pivotHierarchy dragToRow="0" dragToCol="0" dragToPage="0" dragToData="1"/>
    <pivotHierarchy dragToRow="0" dragToCol="0" dragToPage="0" dragToData="1" caption="Przychó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alendarz]"/>
        <x15:activeTabTopLevelEntity name="[Sprzedaż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39852-A78D-4B03-9F7C-29A555D1B12F}" name="Dane sprzedażowe" cacheId="0" applyNumberFormats="0" applyBorderFormats="0" applyFontFormats="0" applyPatternFormats="0" applyAlignmentFormats="0" applyWidthHeightFormats="1" dataCaption="Wartości" tag="55f1ee7f-3605-4e53-82b3-955778d2feda" updatedVersion="8" minRefreshableVersion="5" subtotalHiddenItems="1" itemPrintTitles="1" createdVersion="8" indent="0" outline="1" outlineData="1" multipleFieldFilters="0">
  <location ref="P3:U4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Zakres lat" fld="0" subtotal="count" baseField="0" baseItem="1" numFmtId="14"/>
    <dataField name="Przychód" fld="1" subtotal="count" baseField="0" baseItem="1" numFmtId="164"/>
    <dataField name="Dochód %" fld="5" subtotal="count" baseField="0" baseItem="3"/>
    <dataField name="Liczba transakcji" fld="2" subtotal="count" baseField="0" baseItem="3"/>
    <dataField name="Śr. wartosc transakcji" fld="3" subtotal="count" baseField="0" baseItem="4" numFmtId="164"/>
    <dataField name="Liczba zwrotów" fld="4" subtotal="count" baseField="0" baseItem="5" numFmtId="1"/>
  </dataFields>
  <formats count="4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Hierarchies count="5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Dochód %"/>
    <pivotHierarchy dragToRow="0" dragToCol="0" dragToPage="0" dragToData="1" caption="Liczba transakcji"/>
    <pivotHierarchy dragToRow="0" dragToCol="0" dragToPage="0" dragToData="1" caption="Śr. wartosc transakcji"/>
    <pivotHierarchy dragToRow="0" dragToCol="0" dragToPage="0" dragToData="1" caption="Przychód"/>
    <pivotHierarchy dragToRow="0" dragToCol="0" dragToPage="0" dragToData="1" caption="Zakres la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Liczba zwrotów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rzedaż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09FAC-2C69-44C6-9623-5F5CC64A279B}" name="Przychód wg regionu i segmentu klienta" cacheId="2" applyNumberFormats="0" applyBorderFormats="0" applyFontFormats="0" applyPatternFormats="0" applyAlignmentFormats="0" applyWidthHeightFormats="1" dataCaption="Wartości" tag="dd647062-b7d5-4df8-990e-6514ab77a44f" updatedVersion="8" minRefreshableVersion="5" useAutoFormatting="1" subtotalHiddenItems="1" itemPrintTitles="1" createdVersion="8" indent="0" outline="1" outlineData="1" multipleFieldFilters="0" chartFormat="4">
  <location ref="J3:N10" firstHeaderRow="1" firstDataRow="2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formats count="2">
    <format dxfId="12">
      <pivotArea collapsedLevelsAreSubtotals="1" fieldPosition="0">
        <references count="1">
          <reference field="0" count="0"/>
        </references>
      </pivotArea>
    </format>
    <format dxfId="11">
      <pivotArea grandRow="1" outline="0" collapsedLevelsAreSubtotals="1" fieldPosition="0"/>
    </format>
  </formats>
  <chartFormats count="3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</chartFormats>
  <pivotHierarchies count="5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rzedaż]"/>
        <x15:activeTabTopLevelEntity name="[Klienc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B0856-FB24-4DD4-9A22-F683461578EB}" name="TOP 10 produktów" cacheId="3" applyNumberFormats="0" applyBorderFormats="0" applyFontFormats="0" applyPatternFormats="0" applyAlignmentFormats="0" applyWidthHeightFormats="1" dataCaption="Wartości" tag="3adaddc6-c765-4a04-ae62-f913ab3fec6e" updatedVersion="8" minRefreshableVersion="5" useAutoFormatting="1" subtotalHiddenItems="1" itemPrintTitles="1" createdVersion="8" indent="0" outline="1" outlineData="1" multipleFieldFilters="0" chartFormat="9">
  <location ref="G3:H14" firstHeaderRow="1" firstDataRow="1" firstDataCol="1"/>
  <pivotFields count="6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6"/>
    </i>
    <i>
      <x v="9"/>
    </i>
    <i>
      <x v="3"/>
    </i>
    <i>
      <x v="5"/>
    </i>
    <i>
      <x v="7"/>
    </i>
    <i>
      <x v="4"/>
    </i>
    <i>
      <x v="8"/>
    </i>
    <i t="grand">
      <x/>
    </i>
  </rowItems>
  <colItems count="1">
    <i/>
  </colItems>
  <dataFields count="1">
    <dataField name="Przychód" fld="1" subtotal="count" baseField="0" baseItem="0" numFmtId="164"/>
  </dataFields>
  <formats count="1">
    <format dxfId="1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rzychó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3" iMeasureHier="39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kty]"/>
        <x15:activeTabTopLevelEntity name="[Sprzedaż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ok" xr10:uid="{7BC67DE4-B703-4314-8B11-3055A69C71BF}" sourceName="[Sprzedaż].[Rok]">
  <pivotTables>
    <pivotTable tabId="1" name="Dane sprzedażowe"/>
    <pivotTable tabId="1" name="Przychód w czasie"/>
    <pivotTable tabId="1" name="Przychód wg kategorii"/>
    <pivotTable tabId="1" name="Przychód wg regionu i segmentu klienta"/>
    <pivotTable tabId="1" name="TOP 10 produktów"/>
  </pivotTables>
  <data>
    <olap pivotCacheId="1890641096">
      <levels count="2">
        <level uniqueName="[Sprzedaż].[Rok].[(All)]" sourceCaption="(All)" count="0"/>
        <level uniqueName="[Sprzedaż].[Rok].[Rok]" sourceCaption="Rok" count="3">
          <ranges>
            <range startItem="0">
              <i n="[Sprzedaż].[Rok].&amp;[2023]" c="2023"/>
              <i n="[Sprzedaż].[Rok].&amp;[2024]" c="2024"/>
              <i n="[Sprzedaż].[Rok].&amp;[2025]" c="2025"/>
            </range>
          </ranges>
        </level>
      </levels>
      <selections count="1">
        <selection n="[Sprzedaż].[Rok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82B6BAE1-5767-446E-B39B-987EAABA04A5}" sourceName="[Sprzedaż].[Region]">
  <pivotTables>
    <pivotTable tabId="1" name="Dane sprzedażowe"/>
    <pivotTable tabId="1" name="Przychód w czasie"/>
    <pivotTable tabId="1" name="Przychód wg kategorii"/>
    <pivotTable tabId="1" name="Przychód wg regionu i segmentu klienta"/>
    <pivotTable tabId="1" name="TOP 10 produktów"/>
  </pivotTables>
  <data>
    <olap pivotCacheId="1890641096">
      <levels count="2">
        <level uniqueName="[Sprzedaż].[Region].[(All)]" sourceCaption="(All)" count="0"/>
        <level uniqueName="[Sprzedaż].[Region].[Region]" sourceCaption="Region" count="5">
          <ranges>
            <range startItem="0">
              <i n="[Sprzedaż].[Region].&amp;[Centrum]" c="Centrum"/>
              <i n="[Sprzedaż].[Region].&amp;[Południe]" c="Południe"/>
              <i n="[Sprzedaż].[Region].&amp;[Północ]" c="Północ"/>
              <i n="[Sprzedaż].[Region].&amp;[Wschód]" c="Wschód"/>
              <i n="[Sprzedaż].[Region].&amp;[Zachód]" c="Zachód"/>
            </range>
          </ranges>
        </level>
      </levels>
      <selections count="1">
        <selection n="[Sprzedaż].[Region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egment_klienta" xr10:uid="{47AD7C90-E394-4160-A570-E057F098DE44}" sourceName="[Klienci].[Segment_klienta]">
  <pivotTables>
    <pivotTable tabId="1" name="Dane sprzedażowe"/>
    <pivotTable tabId="1" name="Przychód w czasie"/>
    <pivotTable tabId="1" name="Przychód wg kategorii"/>
    <pivotTable tabId="1" name="Przychód wg regionu i segmentu klienta"/>
    <pivotTable tabId="1" name="TOP 10 produktów"/>
  </pivotTables>
  <data>
    <olap pivotCacheId="1890641096">
      <levels count="2">
        <level uniqueName="[Klienci].[Segment_klienta].[(All)]" sourceCaption="(All)" count="0"/>
        <level uniqueName="[Klienci].[Segment_klienta].[Segment_klienta]" sourceCaption="Segment_klienta" count="3">
          <ranges>
            <range startItem="0">
              <i n="[Klienci].[Segment_klienta].&amp;[Biznesowy]" c="Biznesowy"/>
              <i n="[Klienci].[Segment_klienta].&amp;[Detaliczny]" c="Detaliczny"/>
              <i n="[Klienci].[Segment_klienta].&amp;[VIP]" c="VIP"/>
            </range>
          </ranges>
        </level>
      </levels>
      <selections count="1">
        <selection n="[Klienci].[Segment_klienta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ategoria" xr10:uid="{9BF01182-1F60-4DED-B13E-BC112AA1CD6A}" sourceName="[Produkty].[Kategoria]">
  <pivotTables>
    <pivotTable tabId="1" name="Dane sprzedażowe"/>
    <pivotTable tabId="1" name="Przychód w czasie"/>
    <pivotTable tabId="1" name="Przychód wg kategorii"/>
    <pivotTable tabId="1" name="Przychód wg regionu i segmentu klienta"/>
    <pivotTable tabId="1" name="TOP 10 produktów"/>
  </pivotTables>
  <data>
    <olap pivotCacheId="1890641096">
      <levels count="2">
        <level uniqueName="[Produkty].[Kategoria].[(All)]" sourceCaption="(All)" count="0"/>
        <level uniqueName="[Produkty].[Kategoria].[Kategoria]" sourceCaption="Kategoria" count="6">
          <ranges>
            <range startItem="0">
              <i n="[Produkty].[Kategoria].&amp;[AGD]" c="AGD"/>
              <i n="[Produkty].[Kategoria].&amp;[Dom i Ogród]" c="Dom i Ogród"/>
              <i n="[Produkty].[Kategoria].&amp;[Elektronika]" c="Elektronika"/>
              <i n="[Produkty].[Kategoria].&amp;[Sport]" c="Sport"/>
              <i n="[Produkty].[Kategoria].&amp;[Uroda]" c="Uroda"/>
              <i n="[Produkty].[Kategoria].&amp;[Zabawki]" c="Zabawki"/>
            </range>
          </ranges>
        </level>
      </levels>
      <selections count="1">
        <selection n="[Produkty].[Kategori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" xr10:uid="{02609DE9-D7DB-4401-8508-83EE4BD3AD7D}" cache="Fragmentator_Rok" caption="Rok" columnCount="3" level="1" rowHeight="257175"/>
  <slicer name="Region" xr10:uid="{19AC6855-FA2C-498A-8C5F-0B9231DF59C6}" cache="Fragmentator_Region" caption="Region" columnCount="5" level="1" rowHeight="257175"/>
  <slicer name="Segment_klienta" xr10:uid="{0BDA4B28-50F9-4265-8E6D-E5211FB91BCE}" cache="Fragmentator_Segment_klienta" caption="Segment_klienta" columnCount="3" level="1" rowHeight="257175"/>
  <slicer name="Kategoria" xr10:uid="{F18D19BD-CBF3-42CE-9B73-70BDD47ADF71}" cache="Fragmentator_Kategoria" caption="Kategoria" columnCount="6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680AC-8809-4166-8572-03D14EAAB08D}" name="Ścieżka" displayName="Ścieżka" ref="A1:A2" totalsRowShown="0">
  <autoFilter ref="A1:A2" xr:uid="{BD7680AC-8809-4166-8572-03D14EAAB08D}"/>
  <tableColumns count="1">
    <tableColumn id="1" xr3:uid="{E0FBF3A4-62DB-44DB-AAE9-284E1527030B}" name="Ścieżka">
      <calculatedColumnFormula array="1">LEFT(CELL("nazwa_pliku"),FIND("[",CELL("nazwa_pliku"))-1)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D88FD-0C23-4016-A558-9D5A6097495C}" name="Plik_źródłowy" displayName="Plik_źródłowy" ref="A4:A5" totalsRowShown="0">
  <autoFilter ref="A4:A5" xr:uid="{495D88FD-0C23-4016-A558-9D5A6097495C}"/>
  <tableColumns count="1">
    <tableColumn id="1" xr3:uid="{CF70A58E-36BE-4B7D-A1C8-7F7FF52B293C}" name="Plik źródłow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a" xr10:uid="{6DBC2316-57A9-4A71-A23C-D612289D57CE}" sourceName="[Sprzedaż].[Data]">
  <pivotTables>
    <pivotTable tabId="1" name="Dane sprzedażowe"/>
    <pivotTable tabId="1" name="Przychód w czasie"/>
    <pivotTable tabId="1" name="Przychód wg kategorii"/>
    <pivotTable tabId="1" name="Przychód wg regionu i segmentu klienta"/>
    <pivotTable tabId="1" name="TOP 10 produktów"/>
  </pivotTables>
  <state minimalRefreshVersion="6" lastRefreshVersion="6" pivotCacheId="1595871745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B68A6111-95C1-4021-8BE8-389194C01771}" cache="OśCzasu_Data" caption="Data" level="2" selectionLevel="2" scrollPosition="2024-09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97AE-6D6F-4142-9C26-DF181E63002E}">
  <dimension ref="A1:F1"/>
  <sheetViews>
    <sheetView showGridLines="0" tabSelected="1" zoomScale="85" zoomScaleNormal="85" workbookViewId="0">
      <selection activeCell="Y21" sqref="Y21"/>
    </sheetView>
  </sheetViews>
  <sheetFormatPr defaultRowHeight="15" x14ac:dyDescent="0.25"/>
  <cols>
    <col min="1" max="1" width="9.85546875" bestFit="1" customWidth="1"/>
    <col min="2" max="2" width="14.85546875" bestFit="1" customWidth="1"/>
    <col min="3" max="3" width="21" bestFit="1" customWidth="1"/>
    <col min="4" max="4" width="20.28515625" bestFit="1" customWidth="1"/>
    <col min="5" max="5" width="11.28515625" bestFit="1" customWidth="1"/>
    <col min="6" max="6" width="9.5703125" bestFit="1" customWidth="1"/>
  </cols>
  <sheetData>
    <row r="1" spans="1:6" x14ac:dyDescent="0.25">
      <c r="A1" s="8" t="str" cm="1">
        <f t="array" ref="A1:F1">Analiza!P4:U4</f>
        <v>2023–2025</v>
      </c>
      <c r="B1" s="9">
        <v>9585334.3349999934</v>
      </c>
      <c r="C1" s="13">
        <v>0.24538794191157401</v>
      </c>
      <c r="D1" s="10">
        <v>1570</v>
      </c>
      <c r="E1" s="9">
        <v>6105.3084936305695</v>
      </c>
      <c r="F1" s="12">
        <v>19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CA9D-6A3D-4936-8A48-321F3B4BA8FA}">
  <dimension ref="A3:W43"/>
  <sheetViews>
    <sheetView zoomScaleNormal="100" workbookViewId="0">
      <selection activeCell="W4" sqref="W4"/>
    </sheetView>
  </sheetViews>
  <sheetFormatPr defaultRowHeight="15" x14ac:dyDescent="0.25"/>
  <cols>
    <col min="1" max="1" width="17.85546875" bestFit="1" customWidth="1"/>
    <col min="2" max="2" width="12.140625" bestFit="1" customWidth="1"/>
    <col min="3" max="3" width="3.7109375" customWidth="1"/>
    <col min="4" max="4" width="17.85546875" bestFit="1" customWidth="1"/>
    <col min="5" max="5" width="12.140625" bestFit="1" customWidth="1"/>
    <col min="6" max="6" width="3.7109375" customWidth="1"/>
    <col min="7" max="7" width="26.5703125" bestFit="1" customWidth="1"/>
    <col min="8" max="8" width="12.140625" bestFit="1" customWidth="1"/>
    <col min="9" max="9" width="3.7109375" customWidth="1"/>
    <col min="10" max="11" width="17.85546875" bestFit="1" customWidth="1"/>
    <col min="12" max="13" width="12.140625" bestFit="1" customWidth="1"/>
    <col min="14" max="14" width="14.42578125" bestFit="1" customWidth="1"/>
    <col min="15" max="15" width="3.7109375" customWidth="1"/>
    <col min="16" max="16" width="9.85546875" bestFit="1" customWidth="1"/>
    <col min="17" max="17" width="12.140625" customWidth="1"/>
    <col min="18" max="18" width="14.85546875" bestFit="1" customWidth="1"/>
    <col min="19" max="19" width="15.85546875" bestFit="1" customWidth="1"/>
    <col min="20" max="20" width="20.28515625" bestFit="1" customWidth="1"/>
    <col min="21" max="21" width="15" bestFit="1" customWidth="1"/>
    <col min="22" max="22" width="20.28515625" bestFit="1" customWidth="1"/>
    <col min="23" max="23" width="9.85546875" bestFit="1" customWidth="1"/>
  </cols>
  <sheetData>
    <row r="3" spans="1:23" x14ac:dyDescent="0.25">
      <c r="A3" s="1" t="s">
        <v>0</v>
      </c>
      <c r="B3" t="s">
        <v>41</v>
      </c>
      <c r="D3" s="1" t="s">
        <v>0</v>
      </c>
      <c r="E3" t="s">
        <v>41</v>
      </c>
      <c r="G3" s="1" t="s">
        <v>0</v>
      </c>
      <c r="H3" t="s">
        <v>41</v>
      </c>
      <c r="J3" s="1" t="s">
        <v>14</v>
      </c>
      <c r="K3" s="1" t="s">
        <v>36</v>
      </c>
      <c r="P3" t="s">
        <v>43</v>
      </c>
      <c r="Q3" t="s">
        <v>41</v>
      </c>
      <c r="R3" t="s">
        <v>46</v>
      </c>
      <c r="S3" t="s">
        <v>42</v>
      </c>
      <c r="T3" t="s">
        <v>44</v>
      </c>
      <c r="U3" t="s">
        <v>45</v>
      </c>
    </row>
    <row r="4" spans="1:23" x14ac:dyDescent="0.25">
      <c r="A4" s="2">
        <v>2023</v>
      </c>
      <c r="D4" s="2" t="s">
        <v>15</v>
      </c>
      <c r="E4" s="6">
        <v>913532.40399999882</v>
      </c>
      <c r="G4" s="2" t="s">
        <v>21</v>
      </c>
      <c r="H4" s="6">
        <v>396251.8280000001</v>
      </c>
      <c r="J4" s="1" t="s">
        <v>0</v>
      </c>
      <c r="K4" t="s">
        <v>37</v>
      </c>
      <c r="L4" t="s">
        <v>38</v>
      </c>
      <c r="M4" t="s">
        <v>39</v>
      </c>
      <c r="N4" t="s">
        <v>1</v>
      </c>
      <c r="P4" s="7" t="s">
        <v>40</v>
      </c>
      <c r="Q4" s="6">
        <v>9585334.3349999934</v>
      </c>
      <c r="R4">
        <v>0.24538794191157401</v>
      </c>
      <c r="S4">
        <v>1570</v>
      </c>
      <c r="T4" s="6">
        <v>6105.3084936305695</v>
      </c>
      <c r="U4" s="11">
        <v>19</v>
      </c>
    </row>
    <row r="5" spans="1:23" x14ac:dyDescent="0.25">
      <c r="A5" s="3" t="s">
        <v>2</v>
      </c>
      <c r="B5" s="6">
        <v>239786.49000000002</v>
      </c>
      <c r="D5" s="2" t="s">
        <v>16</v>
      </c>
      <c r="E5" s="6">
        <v>2082668.7099999995</v>
      </c>
      <c r="G5" s="2" t="s">
        <v>22</v>
      </c>
      <c r="H5" s="6">
        <v>382341.29550000007</v>
      </c>
      <c r="J5" s="2" t="s">
        <v>31</v>
      </c>
      <c r="K5" s="6">
        <v>138148.20249999998</v>
      </c>
      <c r="L5" s="6">
        <v>214688.63750000004</v>
      </c>
      <c r="M5" s="6">
        <v>187691.44</v>
      </c>
      <c r="N5" s="6">
        <v>540528.28</v>
      </c>
      <c r="R5" s="5"/>
      <c r="S5" s="5"/>
      <c r="T5" s="5"/>
      <c r="U5" s="5"/>
      <c r="V5" s="5"/>
      <c r="W5" s="5"/>
    </row>
    <row r="6" spans="1:23" x14ac:dyDescent="0.25">
      <c r="A6" s="3" t="s">
        <v>3</v>
      </c>
      <c r="B6" s="6">
        <v>283903.07000000007</v>
      </c>
      <c r="D6" s="2" t="s">
        <v>17</v>
      </c>
      <c r="E6" s="6">
        <v>2567652.1505000005</v>
      </c>
      <c r="G6" s="2" t="s">
        <v>23</v>
      </c>
      <c r="H6" s="6">
        <v>368652.924</v>
      </c>
      <c r="J6" s="2" t="s">
        <v>32</v>
      </c>
      <c r="K6" s="6">
        <v>732608.92049999966</v>
      </c>
      <c r="L6" s="6">
        <v>511086.32399999991</v>
      </c>
      <c r="M6" s="6">
        <v>814064.79900000035</v>
      </c>
      <c r="N6" s="6">
        <v>2057760.0434999994</v>
      </c>
    </row>
    <row r="7" spans="1:23" x14ac:dyDescent="0.25">
      <c r="A7" s="3" t="s">
        <v>4</v>
      </c>
      <c r="B7" s="6">
        <v>257651.43050000005</v>
      </c>
      <c r="D7" s="2" t="s">
        <v>18</v>
      </c>
      <c r="E7" s="6">
        <v>1438362.8759999988</v>
      </c>
      <c r="G7" s="2" t="s">
        <v>27</v>
      </c>
      <c r="H7" s="6">
        <v>315421.60749999998</v>
      </c>
      <c r="J7" s="2" t="s">
        <v>33</v>
      </c>
      <c r="K7" s="6">
        <v>393303.07600000006</v>
      </c>
      <c r="L7" s="6">
        <v>378286.41300000006</v>
      </c>
      <c r="M7" s="6">
        <v>320920.10700000002</v>
      </c>
      <c r="N7" s="6">
        <v>1092509.5959999994</v>
      </c>
    </row>
    <row r="8" spans="1:23" x14ac:dyDescent="0.25">
      <c r="A8" s="3" t="s">
        <v>5</v>
      </c>
      <c r="B8" s="6">
        <v>155490.58649999998</v>
      </c>
      <c r="D8" s="2" t="s">
        <v>19</v>
      </c>
      <c r="E8" s="6">
        <v>1285015.2540000007</v>
      </c>
      <c r="G8" s="2" t="s">
        <v>30</v>
      </c>
      <c r="H8" s="6">
        <v>296994.66150000005</v>
      </c>
      <c r="J8" s="2" t="s">
        <v>34</v>
      </c>
      <c r="K8" s="6">
        <v>1242983.4274999993</v>
      </c>
      <c r="L8" s="6">
        <v>1407694.0070000011</v>
      </c>
      <c r="M8" s="6">
        <v>1522514.3470000001</v>
      </c>
      <c r="N8" s="6">
        <v>4173191.7815000019</v>
      </c>
      <c r="R8" s="4"/>
    </row>
    <row r="9" spans="1:23" x14ac:dyDescent="0.25">
      <c r="A9" s="3" t="s">
        <v>6</v>
      </c>
      <c r="B9" s="6">
        <v>283915.212</v>
      </c>
      <c r="D9" s="2" t="s">
        <v>20</v>
      </c>
      <c r="E9" s="6">
        <v>1298102.9405000007</v>
      </c>
      <c r="G9" s="2" t="s">
        <v>24</v>
      </c>
      <c r="H9" s="6">
        <v>267868.77550000005</v>
      </c>
      <c r="J9" s="2" t="s">
        <v>35</v>
      </c>
      <c r="K9" s="6">
        <v>574584.05249999987</v>
      </c>
      <c r="L9" s="6">
        <v>631774.91099999985</v>
      </c>
      <c r="M9" s="6">
        <v>514985.67050000012</v>
      </c>
      <c r="N9" s="6">
        <v>1721344.6339999989</v>
      </c>
    </row>
    <row r="10" spans="1:23" x14ac:dyDescent="0.25">
      <c r="A10" s="3" t="s">
        <v>7</v>
      </c>
      <c r="B10" s="6">
        <v>213066.67699999997</v>
      </c>
      <c r="D10" s="2" t="s">
        <v>1</v>
      </c>
      <c r="E10" s="6">
        <v>9585334.3349999934</v>
      </c>
      <c r="G10" s="2" t="s">
        <v>26</v>
      </c>
      <c r="H10" s="6">
        <v>266358.3665</v>
      </c>
      <c r="J10" s="2" t="s">
        <v>1</v>
      </c>
      <c r="K10" s="6">
        <v>3081627.6789999972</v>
      </c>
      <c r="L10" s="6">
        <v>3143530.2925000004</v>
      </c>
      <c r="M10" s="6">
        <v>3360176.3634999976</v>
      </c>
      <c r="N10" s="6">
        <v>9585334.3349999934</v>
      </c>
    </row>
    <row r="11" spans="1:23" x14ac:dyDescent="0.25">
      <c r="A11" s="3" t="s">
        <v>8</v>
      </c>
      <c r="B11" s="6">
        <v>279374.37499999994</v>
      </c>
      <c r="G11" s="2" t="s">
        <v>28</v>
      </c>
      <c r="H11" s="6">
        <v>259604.23749999999</v>
      </c>
    </row>
    <row r="12" spans="1:23" x14ac:dyDescent="0.25">
      <c r="A12" s="3" t="s">
        <v>9</v>
      </c>
      <c r="B12" s="6">
        <v>274029.74199999997</v>
      </c>
      <c r="G12" s="2" t="s">
        <v>25</v>
      </c>
      <c r="H12" s="6">
        <v>254224.984</v>
      </c>
    </row>
    <row r="13" spans="1:23" x14ac:dyDescent="0.25">
      <c r="A13" s="3" t="s">
        <v>10</v>
      </c>
      <c r="B13" s="6">
        <v>215087.10650000002</v>
      </c>
      <c r="G13" s="2" t="s">
        <v>29</v>
      </c>
      <c r="H13" s="6">
        <v>250878.62649999993</v>
      </c>
    </row>
    <row r="14" spans="1:23" x14ac:dyDescent="0.25">
      <c r="A14" s="3" t="s">
        <v>11</v>
      </c>
      <c r="B14" s="6">
        <v>349447.00900000002</v>
      </c>
      <c r="G14" s="2" t="s">
        <v>1</v>
      </c>
      <c r="H14" s="6">
        <v>3058597.3064999986</v>
      </c>
    </row>
    <row r="15" spans="1:23" x14ac:dyDescent="0.25">
      <c r="A15" s="3" t="s">
        <v>12</v>
      </c>
      <c r="B15" s="6">
        <v>332870.99449999997</v>
      </c>
    </row>
    <row r="16" spans="1:23" x14ac:dyDescent="0.25">
      <c r="A16" s="3" t="s">
        <v>13</v>
      </c>
      <c r="B16" s="6">
        <v>226731.1925</v>
      </c>
    </row>
    <row r="17" spans="1:2" x14ac:dyDescent="0.25">
      <c r="A17" s="2">
        <v>2024</v>
      </c>
    </row>
    <row r="18" spans="1:2" x14ac:dyDescent="0.25">
      <c r="A18" s="3" t="s">
        <v>2</v>
      </c>
      <c r="B18" s="6">
        <v>371915.68150000006</v>
      </c>
    </row>
    <row r="19" spans="1:2" x14ac:dyDescent="0.25">
      <c r="A19" s="3" t="s">
        <v>3</v>
      </c>
      <c r="B19" s="6">
        <v>220435.03750000001</v>
      </c>
    </row>
    <row r="20" spans="1:2" x14ac:dyDescent="0.25">
      <c r="A20" s="3" t="s">
        <v>4</v>
      </c>
      <c r="B20" s="6">
        <v>259530.49850000007</v>
      </c>
    </row>
    <row r="21" spans="1:2" x14ac:dyDescent="0.25">
      <c r="A21" s="3" t="s">
        <v>5</v>
      </c>
      <c r="B21" s="6">
        <v>282834.5515</v>
      </c>
    </row>
    <row r="22" spans="1:2" x14ac:dyDescent="0.25">
      <c r="A22" s="3" t="s">
        <v>6</v>
      </c>
      <c r="B22" s="6">
        <v>287570.21099999995</v>
      </c>
    </row>
    <row r="23" spans="1:2" x14ac:dyDescent="0.25">
      <c r="A23" s="3" t="s">
        <v>7</v>
      </c>
      <c r="B23" s="6">
        <v>310185.45149999997</v>
      </c>
    </row>
    <row r="24" spans="1:2" x14ac:dyDescent="0.25">
      <c r="A24" s="3" t="s">
        <v>8</v>
      </c>
      <c r="B24" s="6">
        <v>341083.89</v>
      </c>
    </row>
    <row r="25" spans="1:2" x14ac:dyDescent="0.25">
      <c r="A25" s="3" t="s">
        <v>9</v>
      </c>
      <c r="B25" s="6">
        <v>287983.50949999999</v>
      </c>
    </row>
    <row r="26" spans="1:2" x14ac:dyDescent="0.25">
      <c r="A26" s="3" t="s">
        <v>10</v>
      </c>
      <c r="B26" s="6">
        <v>335416.51549999998</v>
      </c>
    </row>
    <row r="27" spans="1:2" x14ac:dyDescent="0.25">
      <c r="A27" s="3" t="s">
        <v>11</v>
      </c>
      <c r="B27" s="6">
        <v>461380.23200000002</v>
      </c>
    </row>
    <row r="28" spans="1:2" x14ac:dyDescent="0.25">
      <c r="A28" s="3" t="s">
        <v>12</v>
      </c>
      <c r="B28" s="6">
        <v>350223.82049999997</v>
      </c>
    </row>
    <row r="29" spans="1:2" x14ac:dyDescent="0.25">
      <c r="A29" s="3" t="s">
        <v>13</v>
      </c>
      <c r="B29" s="6">
        <v>419989.57600000006</v>
      </c>
    </row>
    <row r="30" spans="1:2" x14ac:dyDescent="0.25">
      <c r="A30" s="2">
        <v>2025</v>
      </c>
    </row>
    <row r="31" spans="1:2" x14ac:dyDescent="0.25">
      <c r="A31" s="3" t="s">
        <v>2</v>
      </c>
      <c r="B31" s="6">
        <v>231071.8995</v>
      </c>
    </row>
    <row r="32" spans="1:2" x14ac:dyDescent="0.25">
      <c r="A32" s="3" t="s">
        <v>3</v>
      </c>
      <c r="B32" s="6">
        <v>224594.23600000003</v>
      </c>
    </row>
    <row r="33" spans="1:2" x14ac:dyDescent="0.25">
      <c r="A33" s="3" t="s">
        <v>4</v>
      </c>
      <c r="B33" s="6">
        <v>230380.36149999994</v>
      </c>
    </row>
    <row r="34" spans="1:2" x14ac:dyDescent="0.25">
      <c r="A34" s="3" t="s">
        <v>5</v>
      </c>
      <c r="B34" s="6">
        <v>271219.56400000001</v>
      </c>
    </row>
    <row r="35" spans="1:2" x14ac:dyDescent="0.25">
      <c r="A35" s="3" t="s">
        <v>6</v>
      </c>
      <c r="B35" s="6">
        <v>147182.23949999997</v>
      </c>
    </row>
    <row r="36" spans="1:2" x14ac:dyDescent="0.25">
      <c r="A36" s="3" t="s">
        <v>7</v>
      </c>
      <c r="B36" s="6">
        <v>197539.89500000005</v>
      </c>
    </row>
    <row r="37" spans="1:2" x14ac:dyDescent="0.25">
      <c r="A37" s="3" t="s">
        <v>8</v>
      </c>
      <c r="B37" s="6">
        <v>298273.17800000001</v>
      </c>
    </row>
    <row r="38" spans="1:2" x14ac:dyDescent="0.25">
      <c r="A38" s="3" t="s">
        <v>9</v>
      </c>
      <c r="B38" s="6">
        <v>195407.06699999998</v>
      </c>
    </row>
    <row r="39" spans="1:2" x14ac:dyDescent="0.25">
      <c r="A39" s="3" t="s">
        <v>10</v>
      </c>
      <c r="B39" s="6">
        <v>210743.15899999996</v>
      </c>
    </row>
    <row r="40" spans="1:2" x14ac:dyDescent="0.25">
      <c r="A40" s="3" t="s">
        <v>11</v>
      </c>
      <c r="B40" s="6">
        <v>173357.677</v>
      </c>
    </row>
    <row r="41" spans="1:2" x14ac:dyDescent="0.25">
      <c r="A41" s="3" t="s">
        <v>12</v>
      </c>
      <c r="B41" s="6">
        <v>222701.86199999999</v>
      </c>
    </row>
    <row r="42" spans="1:2" x14ac:dyDescent="0.25">
      <c r="A42" s="3" t="s">
        <v>13</v>
      </c>
      <c r="B42" s="6">
        <v>142960.33600000004</v>
      </c>
    </row>
    <row r="43" spans="1:2" x14ac:dyDescent="0.25">
      <c r="A43" s="2" t="s">
        <v>1</v>
      </c>
      <c r="B43" s="6">
        <v>9585334.3349999934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F8D7-CF4B-4493-B7F6-1B4E5C0BA823}">
  <dimension ref="A1:A5"/>
  <sheetViews>
    <sheetView workbookViewId="0">
      <selection sqref="A1:A5"/>
    </sheetView>
  </sheetViews>
  <sheetFormatPr defaultRowHeight="15" x14ac:dyDescent="0.25"/>
  <cols>
    <col min="1" max="1" width="51.28515625" bestFit="1" customWidth="1"/>
  </cols>
  <sheetData>
    <row r="1" spans="1:1" x14ac:dyDescent="0.25">
      <c r="A1" t="s">
        <v>47</v>
      </c>
    </row>
    <row r="2" spans="1:1" x14ac:dyDescent="0.25">
      <c r="A2" t="str" cm="1">
        <f t="array" aca="1" ref="A2" ca="1">LEFT(CELL("nazwa_pliku"),FIND("[",CELL("nazwa_pliku"))-1)</f>
        <v>C:\Users\Michal\Downloads\Excel\Sprzedaż detaliczna\</v>
      </c>
    </row>
    <row r="4" spans="1:1" x14ac:dyDescent="0.25">
      <c r="A4" t="s">
        <v>49</v>
      </c>
    </row>
    <row r="5" spans="1:1" x14ac:dyDescent="0.25">
      <c r="A5" t="s">
        <v>48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��|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��|
</file>

<file path=customXml/item11.xml>��||B[B[B[B[B[B[B[B[B[B[B[B[B[B[B[B[B[B[B[B[B[B[B[B[B[B[B[B[B[B[||||||||||||||||||||||||||||||||||||||||||||||||||||||||DD||||DD||||DD||||DD|||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��|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��||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3297EE75-C2EF-4573-8C88-6DF8A5DBF520}">
  <ds:schemaRefs/>
</ds:datastoreItem>
</file>

<file path=customXml/itemProps2.xml><?xml version="1.0" encoding="utf-8"?>
<ds:datastoreItem xmlns:ds="http://schemas.openxmlformats.org/officeDocument/2006/customXml" ds:itemID="{5FA39763-FCA9-408E-8640-26BC7C2975B5}">
  <ds:schemaRefs/>
</ds:datastoreItem>
</file>

<file path=customXml/itemProps3.xml><?xml version="1.0" encoding="utf-8"?>
<ds:datastoreItem xmlns:ds="http://schemas.openxmlformats.org/officeDocument/2006/customXml" ds:itemID="{67F0D687-6A5D-4B5E-89C1-315149F2F4C3}">
  <ds:schemaRefs/>
</ds:datastoreItem>
</file>

<file path=customXml/itemProps4.xml><?xml version="1.0" encoding="utf-8"?>
<ds:datastoreItem xmlns:ds="http://schemas.openxmlformats.org/officeDocument/2006/customXml" ds:itemID="{84DBC59A-C339-4DF4-B2CC-5936A7F0DB4C}">
  <ds:schemaRefs/>
</ds:datastoreItem>
</file>

<file path=customXml/itemProps5.xml><?xml version="1.0" encoding="utf-8"?>
<ds:datastoreItem xmlns:ds="http://schemas.openxmlformats.org/officeDocument/2006/customXml" ds:itemID="{F888E53B-AC42-4412-8DE9-AE4DA8C481F9}">
  <ds:schemaRefs/>
</ds:datastoreItem>
</file>

<file path=customXml/itemProps6.xml><?xml version="1.0" encoding="utf-8"?>
<ds:datastoreItem xmlns:ds="http://schemas.openxmlformats.org/officeDocument/2006/customXml" ds:itemID="{F51EAD3B-732D-4669-B723-2773BB3D8C36}">
  <ds:schemaRefs/>
</ds:datastoreItem>
</file>

<file path=customXml/itemProps7.xml><?xml version="1.0" encoding="utf-8"?>
<ds:datastoreItem xmlns:ds="http://schemas.openxmlformats.org/officeDocument/2006/customXml" ds:itemID="{FB40B783-0FC9-4682-90E4-ABBC01DEADB3}">
  <ds:schemaRefs/>
</ds:datastoreItem>
</file>

<file path=customXml/itemProps8.xml><?xml version="1.0" encoding="utf-8"?>
<ds:datastoreItem xmlns:ds="http://schemas.openxmlformats.org/officeDocument/2006/customXml" ds:itemID="{2EEDA42C-F9AC-4698-9B9D-99996C3675FB}">
  <ds:schemaRefs/>
</ds:datastoreItem>
</file>

<file path=customXml/itemProps9.xml><?xml version="1.0" encoding="utf-8"?>
<ds:datastoreItem xmlns:ds="http://schemas.openxmlformats.org/officeDocument/2006/customXml" ds:itemID="{47AC2018-E4A7-4A1F-917B-3A3A6D0BF795}">
  <ds:schemaRefs/>
</ds:datastoreItem>
</file>

<file path=customXml/itemProps10.xml><?xml version="1.0" encoding="utf-8"?>
<ds:datastoreItem xmlns:ds="http://schemas.openxmlformats.org/officeDocument/2006/customXml" ds:itemID="{E74AB2DC-AB2E-4582-9E76-21949DBC7DCB}">
  <ds:schemaRefs/>
</ds:datastoreItem>
</file>

<file path=customXml/itemProps11.xml><?xml version="1.0" encoding="utf-8"?>
<ds:datastoreItem xmlns:ds="http://schemas.openxmlformats.org/officeDocument/2006/customXml" ds:itemID="{87D4DCCC-F905-478A-835F-3B352627993E}">
  <ds:schemaRefs/>
</ds:datastoreItem>
</file>

<file path=customXml/itemProps12.xml><?xml version="1.0" encoding="utf-8"?>
<ds:datastoreItem xmlns:ds="http://schemas.openxmlformats.org/officeDocument/2006/customXml" ds:itemID="{67CE0589-D536-41F1-A2EF-954F3DBA0299}">
  <ds:schemaRefs/>
</ds:datastoreItem>
</file>

<file path=customXml/itemProps13.xml><?xml version="1.0" encoding="utf-8"?>
<ds:datastoreItem xmlns:ds="http://schemas.openxmlformats.org/officeDocument/2006/customXml" ds:itemID="{18BB2C2A-71EB-43A7-88B6-95309FE6C853}">
  <ds:schemaRefs/>
</ds:datastoreItem>
</file>

<file path=customXml/itemProps14.xml><?xml version="1.0" encoding="utf-8"?>
<ds:datastoreItem xmlns:ds="http://schemas.openxmlformats.org/officeDocument/2006/customXml" ds:itemID="{8E460770-2257-4EE5-86BC-98B0758B1725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5A192456-C64F-46B3-BA14-19B2EB26C501}">
  <ds:schemaRefs/>
</ds:datastoreItem>
</file>

<file path=customXml/itemProps16.xml><?xml version="1.0" encoding="utf-8"?>
<ds:datastoreItem xmlns:ds="http://schemas.openxmlformats.org/officeDocument/2006/customXml" ds:itemID="{A21CA0AE-DF5C-4EBB-B3A4-3BF2DA1694ED}">
  <ds:schemaRefs/>
</ds:datastoreItem>
</file>

<file path=customXml/itemProps17.xml><?xml version="1.0" encoding="utf-8"?>
<ds:datastoreItem xmlns:ds="http://schemas.openxmlformats.org/officeDocument/2006/customXml" ds:itemID="{522425A8-CB17-4BBA-AF6A-A2B9955C4DC5}">
  <ds:schemaRefs/>
</ds:datastoreItem>
</file>

<file path=customXml/itemProps18.xml><?xml version="1.0" encoding="utf-8"?>
<ds:datastoreItem xmlns:ds="http://schemas.openxmlformats.org/officeDocument/2006/customXml" ds:itemID="{D92A8434-EB62-4ED2-BC67-2C88717A8A93}">
  <ds:schemaRefs/>
</ds:datastoreItem>
</file>

<file path=customXml/itemProps19.xml><?xml version="1.0" encoding="utf-8"?>
<ds:datastoreItem xmlns:ds="http://schemas.openxmlformats.org/officeDocument/2006/customXml" ds:itemID="{40B941B6-9624-4E7C-8562-7C88C94187F8}">
  <ds:schemaRefs/>
</ds:datastoreItem>
</file>

<file path=customXml/itemProps20.xml><?xml version="1.0" encoding="utf-8"?>
<ds:datastoreItem xmlns:ds="http://schemas.openxmlformats.org/officeDocument/2006/customXml" ds:itemID="{53D34C7B-1E5F-4A3B-A053-D82EA51C7BF6}">
  <ds:schemaRefs/>
</ds:datastoreItem>
</file>

<file path=customXml/itemProps21.xml><?xml version="1.0" encoding="utf-8"?>
<ds:datastoreItem xmlns:ds="http://schemas.openxmlformats.org/officeDocument/2006/customXml" ds:itemID="{E6B3A9ED-2D04-45B1-8B82-0E88506B945D}">
  <ds:schemaRefs/>
</ds:datastoreItem>
</file>

<file path=customXml/itemProps22.xml><?xml version="1.0" encoding="utf-8"?>
<ds:datastoreItem xmlns:ds="http://schemas.openxmlformats.org/officeDocument/2006/customXml" ds:itemID="{D6F7BA02-4990-41C1-9194-D6C8F36CB703}">
  <ds:schemaRefs/>
</ds:datastoreItem>
</file>

<file path=customXml/itemProps23.xml><?xml version="1.0" encoding="utf-8"?>
<ds:datastoreItem xmlns:ds="http://schemas.openxmlformats.org/officeDocument/2006/customXml" ds:itemID="{8DCE1802-89D1-4115-AF82-351A527964A9}">
  <ds:schemaRefs/>
</ds:datastoreItem>
</file>

<file path=customXml/itemProps24.xml><?xml version="1.0" encoding="utf-8"?>
<ds:datastoreItem xmlns:ds="http://schemas.openxmlformats.org/officeDocument/2006/customXml" ds:itemID="{585C9DC5-44B8-4106-ABFC-BDCEE9305545}">
  <ds:schemaRefs/>
</ds:datastoreItem>
</file>

<file path=customXml/itemProps25.xml><?xml version="1.0" encoding="utf-8"?>
<ds:datastoreItem xmlns:ds="http://schemas.openxmlformats.org/officeDocument/2006/customXml" ds:itemID="{E730F91F-E298-4C17-9BAF-99B326FF2034}">
  <ds:schemaRefs/>
</ds:datastoreItem>
</file>

<file path=customXml/itemProps26.xml><?xml version="1.0" encoding="utf-8"?>
<ds:datastoreItem xmlns:ds="http://schemas.openxmlformats.org/officeDocument/2006/customXml" ds:itemID="{807A0B68-DE0B-41AD-9B38-BD60DB1F1ADD}">
  <ds:schemaRefs/>
</ds:datastoreItem>
</file>

<file path=customXml/itemProps27.xml><?xml version="1.0" encoding="utf-8"?>
<ds:datastoreItem xmlns:ds="http://schemas.openxmlformats.org/officeDocument/2006/customXml" ds:itemID="{31B56C4A-7AB1-4034-9307-13442D5171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Dashboard</vt:lpstr>
      <vt:lpstr>Analiza</vt:lpstr>
      <vt:lpstr>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Michal</cp:lastModifiedBy>
  <dcterms:created xsi:type="dcterms:W3CDTF">2026-07-07T08:44:46Z</dcterms:created>
  <dcterms:modified xsi:type="dcterms:W3CDTF">2026-07-09T07:41:01Z</dcterms:modified>
</cp:coreProperties>
</file>